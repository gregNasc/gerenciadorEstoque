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Inventory T.I\Desktop\"/>
    </mc:Choice>
  </mc:AlternateContent>
  <bookViews>
    <workbookView xWindow="0" yWindow="0" windowWidth="22992" windowHeight="9024" tabRatio="573" firstSheet="1" activeTab="2"/>
  </bookViews>
  <sheets>
    <sheet name="Controle de Logistica" sheetId="3" state="hidden" r:id="rId1"/>
    <sheet name="Distribuição" sheetId="1" r:id="rId2"/>
    <sheet name="Check - List" sheetId="2" r:id="rId3"/>
    <sheet name="Declaração" sheetId="5" r:id="rId4"/>
    <sheet name="Planilha3" sheetId="20" state="hidden" r:id="rId5"/>
    <sheet name="Planilha2" sheetId="19" state="hidden" r:id="rId6"/>
    <sheet name="Preparação de Lojas" sheetId="6" state="hidden" r:id="rId7"/>
    <sheet name="Planilha1" sheetId="18" state="hidden" r:id="rId8"/>
    <sheet name="Check - List - Detalhado" sheetId="14" state="hidden" r:id="rId9"/>
    <sheet name="Plan2" sheetId="7" state="hidden" r:id="rId10"/>
    <sheet name="Plan3" sheetId="8" state="hidden" r:id="rId11"/>
    <sheet name="Plan4" sheetId="9" state="hidden" r:id="rId12"/>
    <sheet name="Plan5" sheetId="10" state="hidden" r:id="rId13"/>
    <sheet name="Plan6" sheetId="11" state="hidden" r:id="rId14"/>
  </sheets>
  <externalReferences>
    <externalReference r:id="rId15"/>
  </externalReferences>
  <definedNames>
    <definedName name="_xlnm._FilterDatabase" localSheetId="1" hidden="1">Distribuição!$A$3:$BM$741</definedName>
    <definedName name="_xlnm.Print_Area" localSheetId="2">'Check - List'!$A$1:$L$80</definedName>
    <definedName name="_xlnm.Print_Area" localSheetId="3">Declaração!$A$1:$H$42</definedName>
    <definedName name="_xlnm.Print_Area" localSheetId="10">Plan3!$A$1:$L$36</definedName>
    <definedName name="_xlnm.Print_Area" localSheetId="6">'Preparação de Lojas'!$A$1:$H$10</definedName>
  </definedNames>
  <calcPr calcId="162913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4" i="1"/>
  <c r="F41" i="5" l="1"/>
  <c r="A204" i="1" l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G22" i="20" l="1"/>
  <c r="A289" i="1" l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Z1" i="2" l="1"/>
  <c r="G7" i="2" l="1"/>
  <c r="C7" i="2"/>
  <c r="C5" i="2"/>
  <c r="E67" i="2"/>
  <c r="E66" i="2"/>
  <c r="E57" i="2"/>
  <c r="E48" i="2"/>
  <c r="E39" i="2"/>
  <c r="E30" i="2"/>
  <c r="E22" i="2"/>
  <c r="E28" i="2"/>
  <c r="E42" i="2"/>
  <c r="E59" i="2"/>
  <c r="E24" i="2"/>
  <c r="E64" i="2"/>
  <c r="E56" i="2"/>
  <c r="E47" i="2"/>
  <c r="E38" i="2"/>
  <c r="E29" i="2"/>
  <c r="E21" i="2"/>
  <c r="E63" i="2"/>
  <c r="E55" i="2"/>
  <c r="E46" i="2"/>
  <c r="E37" i="2"/>
  <c r="E20" i="2"/>
  <c r="E33" i="2"/>
  <c r="E51" i="2"/>
  <c r="E50" i="2"/>
  <c r="E23" i="2"/>
  <c r="E58" i="2"/>
  <c r="E62" i="2"/>
  <c r="E54" i="2"/>
  <c r="E44" i="2"/>
  <c r="E36" i="2"/>
  <c r="E27" i="2"/>
  <c r="E61" i="2"/>
  <c r="E53" i="2"/>
  <c r="E34" i="2"/>
  <c r="E26" i="2"/>
  <c r="E60" i="2"/>
  <c r="E52" i="2"/>
  <c r="E25" i="2"/>
  <c r="E32" i="2"/>
  <c r="E31" i="2"/>
  <c r="E43" i="2"/>
  <c r="E41" i="2"/>
  <c r="E40" i="2"/>
  <c r="E18" i="2"/>
  <c r="G3" i="2"/>
  <c r="J1" i="5" l="1"/>
  <c r="E12" i="2" l="1"/>
  <c r="E74" i="2"/>
  <c r="E70" i="2"/>
  <c r="E16" i="2"/>
  <c r="E11" i="2"/>
  <c r="E71" i="2"/>
  <c r="E17" i="2"/>
  <c r="E13" i="2"/>
  <c r="E73" i="2"/>
  <c r="E19" i="2"/>
  <c r="E72" i="2"/>
  <c r="E68" i="2"/>
  <c r="E14" i="2"/>
  <c r="E69" i="2"/>
  <c r="E15" i="2"/>
</calcChain>
</file>

<file path=xl/sharedStrings.xml><?xml version="1.0" encoding="utf-8"?>
<sst xmlns="http://schemas.openxmlformats.org/spreadsheetml/2006/main" count="552" uniqueCount="247">
  <si>
    <t>Carregador de Bateria</t>
  </si>
  <si>
    <t>Fonte Carregador de Bateria</t>
  </si>
  <si>
    <t>Mouse</t>
  </si>
  <si>
    <t>Toner Impressora Laser</t>
  </si>
  <si>
    <t>Touca</t>
  </si>
  <si>
    <t>Luva</t>
  </si>
  <si>
    <t>Máscara</t>
  </si>
  <si>
    <t>Grampeador</t>
  </si>
  <si>
    <t>Durex</t>
  </si>
  <si>
    <t>Papel Sufite (Pacote)</t>
  </si>
  <si>
    <t>Cabo de Dados</t>
  </si>
  <si>
    <t>Cabo Power</t>
  </si>
  <si>
    <t>Cabo USB (Impressora)</t>
  </si>
  <si>
    <t>Filtro de Linha</t>
  </si>
  <si>
    <t>Transformador</t>
  </si>
  <si>
    <t>Cabo Transformador</t>
  </si>
  <si>
    <t>Teste Voltagem</t>
  </si>
  <si>
    <t>Adaptador</t>
  </si>
  <si>
    <t>Extensão</t>
  </si>
  <si>
    <t>Cabo de Rede (RJ45)</t>
  </si>
  <si>
    <t>Coletor de Dados</t>
  </si>
  <si>
    <t>Notebook</t>
  </si>
  <si>
    <t>Fonte Noteebook</t>
  </si>
  <si>
    <t>Impressora Laser</t>
  </si>
  <si>
    <t>Capa Térmica</t>
  </si>
  <si>
    <t>Balança</t>
  </si>
  <si>
    <t>DEPARTAMENTO PESSOAL</t>
  </si>
  <si>
    <t>FIOS E CABOS</t>
  </si>
  <si>
    <t>DATA</t>
  </si>
  <si>
    <t>#</t>
  </si>
  <si>
    <t>SIGLA</t>
  </si>
  <si>
    <t>LOJA</t>
  </si>
  <si>
    <t>Etiqueta Setor 1000</t>
  </si>
  <si>
    <t>Etiqueta Setor 2000</t>
  </si>
  <si>
    <t>Etiqueta Setor 3000</t>
  </si>
  <si>
    <t>Etiqueta Setor 4000</t>
  </si>
  <si>
    <t>Etiqueta Setor 5000</t>
  </si>
  <si>
    <t>Etiqueta Setor 6000</t>
  </si>
  <si>
    <t>Etiqueta Setor 7000</t>
  </si>
  <si>
    <t>Etiqueta Setor 8000</t>
  </si>
  <si>
    <t>Etiqueta Setor 9000</t>
  </si>
  <si>
    <t>Bateria Coletor</t>
  </si>
  <si>
    <t xml:space="preserve">                             </t>
  </si>
  <si>
    <t xml:space="preserve"> CHECK LIST DE EQUIPAMENTOS</t>
  </si>
  <si>
    <t>Descrição</t>
  </si>
  <si>
    <t>Conferencia Loja</t>
  </si>
  <si>
    <t>Entrada</t>
  </si>
  <si>
    <t>Saída</t>
  </si>
  <si>
    <t>BIC DATA</t>
  </si>
  <si>
    <t>QUANTIDADE DE VOLUME</t>
  </si>
  <si>
    <t>Placa 3G</t>
  </si>
  <si>
    <t>COLETOR DE DADOS</t>
  </si>
  <si>
    <t>ENDEREÇO</t>
  </si>
  <si>
    <t>CLIENTE</t>
  </si>
  <si>
    <t>BAIRRO</t>
  </si>
  <si>
    <t>CIDADE:</t>
  </si>
  <si>
    <t>Coletor de Dados - MC 3190</t>
  </si>
  <si>
    <t>Carregador de Bateria  - MC 3190</t>
  </si>
  <si>
    <t>Fonte Carregador de Bateria  - MC 3190</t>
  </si>
  <si>
    <t>Bateria Coletor  - MC 3190</t>
  </si>
  <si>
    <t>Fonte Carregador  Berço   - MC 3190</t>
  </si>
  <si>
    <t>Berço Coletor  - MC 3190</t>
  </si>
  <si>
    <t>Cabo de USB Berço - MC 3190</t>
  </si>
  <si>
    <t>EQUIPAMENTOS ALUGADOS</t>
  </si>
  <si>
    <t>Coletor de Dados MC 3190</t>
  </si>
  <si>
    <t>Carregador de Bateria MC 3190</t>
  </si>
  <si>
    <t>Fonte Carregador de Bateria MC 3190</t>
  </si>
  <si>
    <t>Fonte Carregador  Berço MC 3190</t>
  </si>
  <si>
    <t>Berço Coletor MC 3190</t>
  </si>
  <si>
    <t>Cabo de USB Berço MC 3190</t>
  </si>
  <si>
    <t>Bateria Coletor MC 3190</t>
  </si>
  <si>
    <t>PIV</t>
  </si>
  <si>
    <t>Cinto de segurança</t>
  </si>
  <si>
    <t>Estoque</t>
  </si>
  <si>
    <t>Uso Mensal</t>
  </si>
  <si>
    <t>Máscara (Caixa)</t>
  </si>
  <si>
    <t>Luva (Caixa)</t>
  </si>
  <si>
    <t>Touca (Caixa)</t>
  </si>
  <si>
    <t>Ribbon (Unidade)</t>
  </si>
  <si>
    <t>Bobina - Cor Verde (Unidade)</t>
  </si>
  <si>
    <t>Bobina - Cor Branca (Unidade)</t>
  </si>
  <si>
    <t>Marcador de Coleta (Unidade)</t>
  </si>
  <si>
    <t>Controle de Logistica</t>
  </si>
  <si>
    <r>
      <t xml:space="preserve">Etiqueta Setor 3500 - </t>
    </r>
    <r>
      <rPr>
        <b/>
        <sz val="12"/>
        <color theme="1"/>
        <rFont val="Calibri"/>
        <family val="2"/>
        <scheme val="minor"/>
      </rPr>
      <t>Peso Variável</t>
    </r>
  </si>
  <si>
    <r>
      <t xml:space="preserve">Envio </t>
    </r>
    <r>
      <rPr>
        <b/>
        <sz val="10"/>
        <color indexed="8"/>
        <rFont val="Calibri"/>
        <family val="2"/>
      </rPr>
      <t>QUANTIDADE</t>
    </r>
  </si>
  <si>
    <r>
      <t xml:space="preserve">Saída </t>
    </r>
    <r>
      <rPr>
        <b/>
        <sz val="10"/>
        <color indexed="8"/>
        <rFont val="Calibri"/>
        <family val="2"/>
      </rPr>
      <t>LOGISTICA</t>
    </r>
  </si>
  <si>
    <r>
      <t xml:space="preserve">Retorno </t>
    </r>
    <r>
      <rPr>
        <b/>
        <sz val="10"/>
        <color indexed="8"/>
        <rFont val="Calibri"/>
        <family val="2"/>
      </rPr>
      <t>LOGISTICA</t>
    </r>
  </si>
  <si>
    <t>LOCAL</t>
  </si>
  <si>
    <t>TERMINO PREPARAÇÃO</t>
  </si>
  <si>
    <t>HORARIO DA ENTREGA</t>
  </si>
  <si>
    <t>INICIO DO INVENTÁRIO</t>
  </si>
  <si>
    <t>DECLARAÇÃO DE RETIRADA DE EQUIPAMENTOS</t>
  </si>
  <si>
    <t>CIDADE</t>
  </si>
  <si>
    <t>IMPRESSORA</t>
  </si>
  <si>
    <t>BALANÇA</t>
  </si>
  <si>
    <t>A REVELAÇÃO ASSESSORIA EMPRESARIAL S/S LTDA, CNPJ: 04.304.329/0001-05  vem através desta declarar o a entrega e retirada dos equipamentos abaixo:</t>
  </si>
  <si>
    <t>PREPARAÇÃO DE LOJAS</t>
  </si>
  <si>
    <t>PET 010011</t>
  </si>
  <si>
    <t>CD Anhaguera</t>
  </si>
  <si>
    <t>Dia 01/11 às 9:00</t>
  </si>
  <si>
    <t>KM</t>
  </si>
  <si>
    <t>CONTROLE DE KILOMETRAGEM</t>
  </si>
  <si>
    <t>TOTAL</t>
  </si>
  <si>
    <t>KM SAIDA</t>
  </si>
  <si>
    <t>KM CHEGADA</t>
  </si>
  <si>
    <t>Berço</t>
  </si>
  <si>
    <t>Cabo USB (Berço)</t>
  </si>
  <si>
    <t>Escada</t>
  </si>
  <si>
    <t>Assinatura do responsável Preparação              Assinatura do responsável Conferencia Loja         Assinatura do responsável Retorno</t>
  </si>
  <si>
    <t xml:space="preserve">_________________________________               ______________________________________          ______________________________      </t>
  </si>
  <si>
    <t xml:space="preserve">   Etiqueta Setor 3500 Pereciveis</t>
  </si>
  <si>
    <t>HORARIO DE INICIO</t>
  </si>
  <si>
    <t>HORARIO  DE ENTREGA</t>
  </si>
  <si>
    <t>TRANSPORTE</t>
  </si>
  <si>
    <t>P.ENCONTRO JURUBATUBA</t>
  </si>
  <si>
    <t>Aranha Pra Escada</t>
  </si>
  <si>
    <t>CCA</t>
  </si>
  <si>
    <t>PTL</t>
  </si>
  <si>
    <t>CEC</t>
  </si>
  <si>
    <t>AKK</t>
  </si>
  <si>
    <t>PET</t>
  </si>
  <si>
    <t>04 0006</t>
  </si>
  <si>
    <t>3_2</t>
  </si>
  <si>
    <t>Total</t>
  </si>
  <si>
    <t>Distribuição</t>
  </si>
  <si>
    <t>Coletor</t>
  </si>
  <si>
    <t xml:space="preserve"> </t>
  </si>
  <si>
    <t>Calça Térmica</t>
  </si>
  <si>
    <t>Fonte Balança</t>
  </si>
  <si>
    <t>No Filtro</t>
  </si>
  <si>
    <t>Marcador Coletado</t>
  </si>
  <si>
    <t>Cintos Coletor</t>
  </si>
  <si>
    <t>Check - List - Detalhado</t>
  </si>
  <si>
    <t>Tipo</t>
  </si>
  <si>
    <t>Bateria</t>
  </si>
  <si>
    <t>MC 65</t>
  </si>
  <si>
    <t>Equipamentos Para ir pro Rio de Janeiro</t>
  </si>
  <si>
    <t xml:space="preserve">Coletores </t>
  </si>
  <si>
    <t xml:space="preserve">Carregadores </t>
  </si>
  <si>
    <t>Fonte para Carregador</t>
  </si>
  <si>
    <t>Baterias</t>
  </si>
  <si>
    <t>ESCADA</t>
  </si>
  <si>
    <t>SKORPIO X3</t>
  </si>
  <si>
    <t>SKORPIO X4</t>
  </si>
  <si>
    <t>Berço/Com..</t>
  </si>
  <si>
    <t>Fonte Notebook</t>
  </si>
  <si>
    <t>Router Hap + Fonte</t>
  </si>
  <si>
    <t>Access Point + Fonte</t>
  </si>
  <si>
    <t>Switch Poe Pro</t>
  </si>
  <si>
    <t>Extensor de Rede / Carrinho</t>
  </si>
  <si>
    <t>EXTENSOR DE REDE / CARRINHO</t>
  </si>
  <si>
    <t xml:space="preserve">   </t>
  </si>
  <si>
    <t>P.ENCONTRO PEDRO II</t>
  </si>
  <si>
    <t>Papel Sulfite (Pacote)</t>
  </si>
  <si>
    <t>JAU</t>
  </si>
  <si>
    <t>SÃO CARLOS</t>
  </si>
  <si>
    <t>LA</t>
  </si>
  <si>
    <t>UF</t>
  </si>
  <si>
    <t>TIPO</t>
  </si>
  <si>
    <t>EQUIPAMENTOS</t>
  </si>
  <si>
    <t>VILA MARCELINO</t>
  </si>
  <si>
    <t>SP SUL</t>
  </si>
  <si>
    <t>LO</t>
  </si>
  <si>
    <t>REDENÇÃO</t>
  </si>
  <si>
    <t>CIDADE JARDIM</t>
  </si>
  <si>
    <t>VILA COSTA DO SOL</t>
  </si>
  <si>
    <t>VILA PRADO</t>
  </si>
  <si>
    <t>CENTRO - PADRE TEIXEIRA</t>
  </si>
  <si>
    <t>VILA VISTA ALEGRE</t>
  </si>
  <si>
    <t>CENTRO - VISCONDE DE INHAÚMA</t>
  </si>
  <si>
    <t>VILA STEOLA</t>
  </si>
  <si>
    <t>PIRASSUNUNGA</t>
  </si>
  <si>
    <t>SÃO DIMAS</t>
  </si>
  <si>
    <t>PIRACICABA         </t>
  </si>
  <si>
    <t>CENTRO</t>
  </si>
  <si>
    <t>VILA REZENDE</t>
  </si>
  <si>
    <t>DESCRIÇÃO</t>
  </si>
  <si>
    <t>São Paulo</t>
  </si>
  <si>
    <t>Equipamentos em manutenção</t>
  </si>
  <si>
    <t>Equipamentos danificados (SUCATA)</t>
  </si>
  <si>
    <t>Equipamentos extraviados</t>
  </si>
  <si>
    <t>Ativo</t>
  </si>
  <si>
    <t>Inativo</t>
  </si>
  <si>
    <t>NOTEBOOKS DELL i3</t>
  </si>
  <si>
    <t>NOTEBOOKS DELL i5</t>
  </si>
  <si>
    <t>IMPRESSORA SAMSUNG 2165</t>
  </si>
  <si>
    <t>IMPRESSORA SAMSUNG 2020</t>
  </si>
  <si>
    <t>IMPRESSORA HP 107</t>
  </si>
  <si>
    <t>CASE P/ IMPRESSORAS</t>
  </si>
  <si>
    <t>COLETOR SCORPION X3</t>
  </si>
  <si>
    <t>COLETOR SCORPION X4</t>
  </si>
  <si>
    <t>CARREGADOR DE BATERIAS (p/ SCORPION)</t>
  </si>
  <si>
    <t>CASE P/ COLETOR SCORPION</t>
  </si>
  <si>
    <t>BATERIA RESERVA (3000) - SCORPION</t>
  </si>
  <si>
    <t>BATERIA RESERVA (5200) - SCORPION</t>
  </si>
  <si>
    <t>COLETOR MC659B</t>
  </si>
  <si>
    <t>CASE P/ COLETOR MC659B (10P)</t>
  </si>
  <si>
    <t>CASE P/ COLETOR MC659B (10P c/ Tampa grande)</t>
  </si>
  <si>
    <t>CASE P/ COLETOR MC659B (15P)</t>
  </si>
  <si>
    <t>BATERIA RESERVA (2400) - MC659B</t>
  </si>
  <si>
    <t>BATERIA RESERVA (3600) - MC659B</t>
  </si>
  <si>
    <t>CARREGADOR DE BATERIAS PLUS  (p/ MC659B)</t>
  </si>
  <si>
    <t>CARREGADOR DE BATERIAS (BERÇO p/ MC659B)</t>
  </si>
  <si>
    <t>ROTEADORES (HAP SERIES)</t>
  </si>
  <si>
    <t>ACCESS POINT (ANTENA BRANCA)</t>
  </si>
  <si>
    <t>SWITCH UBIQUITI</t>
  </si>
  <si>
    <t>CINTO DE SEGURANÇA (EPI)</t>
  </si>
  <si>
    <t>CAPACETE DE SEGURANÇA (EPI)</t>
  </si>
  <si>
    <t>MODEM 3G (GSM)</t>
  </si>
  <si>
    <t>TRANSFORMADOR</t>
  </si>
  <si>
    <t>BALANÇA 300KG</t>
  </si>
  <si>
    <t>ESCADA DE ALUMÍNIO</t>
  </si>
  <si>
    <t>Tablet</t>
  </si>
  <si>
    <t>Capacete</t>
  </si>
  <si>
    <t>Assinatura  do Coordenador</t>
  </si>
  <si>
    <t>ATENÇÃO</t>
  </si>
  <si>
    <t>__            _______________________________</t>
  </si>
  <si>
    <t>após ser notificado pela logistica do equipamento faltante (s).</t>
  </si>
  <si>
    <t>de todos os equipamento a logistica conferido, serei responsavel pela reposiçao dos mesmos em ate 15 dias corridos</t>
  </si>
  <si>
    <t>Eu................................................................. Responsavel pelo inventario descrito neste check list estou ciente que o não retorno</t>
  </si>
  <si>
    <t>Botas do 33/48</t>
  </si>
  <si>
    <t>_</t>
  </si>
  <si>
    <t>Marcador de Coleta - AZUL CLARO</t>
  </si>
  <si>
    <t>Marcador de Coleta - AZUL ESCURO</t>
  </si>
  <si>
    <t>Marcador de Coleta - AZUL CLA</t>
  </si>
  <si>
    <t>Marcador de Coleta - AZUL ESC</t>
  </si>
  <si>
    <t>CFX</t>
  </si>
  <si>
    <t>STM</t>
  </si>
  <si>
    <t>PMO</t>
  </si>
  <si>
    <t>CFO</t>
  </si>
  <si>
    <t>Etiqueta Setor 0001</t>
  </si>
  <si>
    <t>CDG</t>
  </si>
  <si>
    <t>MEL</t>
  </si>
  <si>
    <t>S705</t>
  </si>
  <si>
    <t>PESSOAS</t>
  </si>
  <si>
    <t>COLETOR</t>
  </si>
  <si>
    <t>CA</t>
  </si>
  <si>
    <t>T</t>
  </si>
  <si>
    <t>PNA</t>
  </si>
  <si>
    <t>TOTAL DE COLETORES EM USO</t>
  </si>
  <si>
    <t>MC - 65</t>
  </si>
  <si>
    <t xml:space="preserve">    </t>
  </si>
  <si>
    <t>OBS. 35 COLETORES SENDO 15 ANDROID, 4 CARREGADOR E 8 CABO USB TIPO C</t>
  </si>
  <si>
    <t xml:space="preserve">Carregador Tipo C </t>
  </si>
  <si>
    <t>Carregador Tipo C (Coletor Android)</t>
  </si>
  <si>
    <t>Berço + Cabo USB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</si>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</sst>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€]#,##0.00\ ;[$€]\(#,##0.00\);[$€]\-#\ "/>
    <numFmt numFmtId="165" formatCode="&quot; R$ &quot;#,##0.00\ ;&quot; R$ (&quot;#,##0.00\);&quot; R$ -&quot;#\ ;@\ "/>
    <numFmt numFmtId="166" formatCode="#,##0.00\ ;&quot; (&quot;#,##0.00\);&quot; -&quot;#\ ;@\ "/>
    <numFmt numFmtId="167" formatCode="h:mm;@"/>
    <numFmt numFmtId="168" formatCode="00000"/>
    <numFmt numFmtId="169" formatCode="_(* #,##0.00_);_(* \(#,##0.00\);_(* &quot;-&quot;??_);_(@_)"/>
    <numFmt numFmtId="170" formatCode="_([$€]* #,##0.00_);_([$€]* \(#,##0.00\);_([$€]* &quot;-&quot;??_);_(@_)"/>
  </numFmts>
  <fonts count="6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indexed="8"/>
      <name val="Calibri"/>
      <family val="2"/>
    </font>
    <font>
      <b/>
      <sz val="11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</font>
    <font>
      <b/>
      <sz val="1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color rgb="FF222222"/>
      <name val="Calibri"/>
      <family val="2"/>
    </font>
    <font>
      <b/>
      <sz val="12"/>
      <color rgb="FFFFFFFF"/>
      <name val="Calibri"/>
      <family val="2"/>
    </font>
    <font>
      <sz val="12"/>
      <color rgb="FF222222"/>
      <name val="Calibri"/>
      <family val="2"/>
    </font>
    <font>
      <sz val="7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6666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ouble">
        <color rgb="FF3F3F3F"/>
      </top>
      <bottom style="thin">
        <color indexed="64"/>
      </bottom>
      <diagonal/>
    </border>
    <border>
      <left/>
      <right style="medium">
        <color indexed="64"/>
      </right>
      <top style="double">
        <color rgb="FF3F3F3F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164" fontId="3" fillId="0" borderId="0" applyFill="0" applyBorder="0" applyAlignment="0" applyProtection="0"/>
    <xf numFmtId="165" fontId="3" fillId="0" borderId="0" applyFill="0" applyBorder="0" applyAlignment="0" applyProtection="0"/>
    <xf numFmtId="165" fontId="3" fillId="0" borderId="0" applyFill="0" applyBorder="0" applyAlignment="0" applyProtection="0"/>
    <xf numFmtId="0" fontId="3" fillId="0" borderId="0"/>
    <xf numFmtId="0" fontId="2" fillId="0" borderId="0"/>
    <xf numFmtId="0" fontId="3" fillId="0" borderId="0"/>
    <xf numFmtId="0" fontId="3" fillId="2" borderId="1" applyNumberFormat="0" applyAlignment="0" applyProtection="0"/>
    <xf numFmtId="0" fontId="3" fillId="2" borderId="1" applyNumberFormat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166" fontId="3" fillId="0" borderId="0" applyFill="0" applyBorder="0" applyAlignment="0" applyProtection="0"/>
    <xf numFmtId="166" fontId="3" fillId="0" borderId="0" applyFill="0" applyBorder="0" applyAlignment="0" applyProtection="0"/>
    <xf numFmtId="0" fontId="3" fillId="0" borderId="0"/>
    <xf numFmtId="0" fontId="3" fillId="0" borderId="0"/>
    <xf numFmtId="0" fontId="16" fillId="1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8" fillId="20" borderId="0" applyNumberFormat="0" applyBorder="0" applyAlignment="0" applyProtection="0"/>
    <xf numFmtId="0" fontId="39" fillId="32" borderId="71" applyNumberFormat="0" applyAlignment="0" applyProtection="0"/>
    <xf numFmtId="0" fontId="40" fillId="33" borderId="72" applyNumberFormat="0" applyAlignment="0" applyProtection="0"/>
    <xf numFmtId="0" fontId="41" fillId="0" borderId="73" applyNumberFormat="0" applyFill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7" borderId="0" applyNumberFormat="0" applyBorder="0" applyAlignment="0" applyProtection="0"/>
    <xf numFmtId="0" fontId="42" fillId="23" borderId="71" applyNumberFormat="0" applyAlignment="0" applyProtection="0"/>
    <xf numFmtId="170" fontId="3" fillId="0" borderId="0" applyFont="0" applyFill="0" applyBorder="0" applyAlignment="0" applyProtection="0"/>
    <xf numFmtId="0" fontId="43" fillId="19" borderId="0" applyNumberFormat="0" applyBorder="0" applyAlignment="0" applyProtection="0"/>
    <xf numFmtId="0" fontId="44" fillId="38" borderId="0" applyNumberFormat="0" applyBorder="0" applyAlignment="0" applyProtection="0"/>
    <xf numFmtId="0" fontId="3" fillId="0" borderId="0"/>
    <xf numFmtId="0" fontId="3" fillId="0" borderId="0"/>
    <xf numFmtId="0" fontId="25" fillId="0" borderId="0"/>
    <xf numFmtId="0" fontId="3" fillId="39" borderId="1" applyNumberFormat="0" applyFont="0" applyAlignment="0" applyProtection="0"/>
    <xf numFmtId="9" fontId="3" fillId="0" borderId="0" applyFont="0" applyFill="0" applyBorder="0" applyAlignment="0" applyProtection="0"/>
    <xf numFmtId="0" fontId="45" fillId="32" borderId="74" applyNumberFormat="0" applyAlignment="0" applyProtection="0"/>
    <xf numFmtId="169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75" applyNumberFormat="0" applyFill="0" applyAlignment="0" applyProtection="0"/>
    <xf numFmtId="0" fontId="50" fillId="0" borderId="76" applyNumberFormat="0" applyFill="0" applyAlignment="0" applyProtection="0"/>
    <xf numFmtId="0" fontId="51" fillId="0" borderId="77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78" applyNumberFormat="0" applyFill="0" applyAlignment="0" applyProtection="0"/>
    <xf numFmtId="0" fontId="25" fillId="0" borderId="0"/>
    <xf numFmtId="0" fontId="3" fillId="39" borderId="80" applyNumberFormat="0" applyFont="0" applyAlignment="0" applyProtection="0"/>
    <xf numFmtId="0" fontId="3" fillId="0" borderId="0"/>
    <xf numFmtId="0" fontId="52" fillId="0" borderId="82" applyNumberFormat="0" applyFill="0" applyAlignment="0" applyProtection="0"/>
    <xf numFmtId="0" fontId="45" fillId="32" borderId="81" applyNumberFormat="0" applyAlignment="0" applyProtection="0"/>
    <xf numFmtId="0" fontId="42" fillId="23" borderId="79" applyNumberFormat="0" applyAlignment="0" applyProtection="0"/>
    <xf numFmtId="0" fontId="39" fillId="32" borderId="79" applyNumberFormat="0" applyAlignment="0" applyProtection="0"/>
  </cellStyleXfs>
  <cellXfs count="493">
    <xf numFmtId="0" fontId="0" fillId="0" borderId="0" xfId="0"/>
    <xf numFmtId="0" fontId="0" fillId="3" borderId="0" xfId="0" applyFill="1"/>
    <xf numFmtId="0" fontId="6" fillId="3" borderId="0" xfId="0" applyFont="1" applyFill="1" applyAlignment="1">
      <alignment horizontal="center" vertical="center" textRotation="180"/>
    </xf>
    <xf numFmtId="0" fontId="6" fillId="4" borderId="0" xfId="0" applyFont="1" applyFill="1" applyAlignment="1">
      <alignment horizontal="center" vertical="center" textRotation="180"/>
    </xf>
    <xf numFmtId="0" fontId="6" fillId="5" borderId="0" xfId="0" applyFont="1" applyFill="1" applyAlignment="1">
      <alignment horizontal="center" vertical="center" textRotation="180"/>
    </xf>
    <xf numFmtId="1" fontId="6" fillId="6" borderId="2" xfId="0" applyNumberFormat="1" applyFont="1" applyFill="1" applyBorder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 textRotation="180"/>
    </xf>
    <xf numFmtId="0" fontId="6" fillId="7" borderId="0" xfId="0" applyFont="1" applyFill="1" applyAlignment="1">
      <alignment horizontal="center" vertical="center" textRotation="180"/>
    </xf>
    <xf numFmtId="0" fontId="6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textRotation="180"/>
    </xf>
    <xf numFmtId="0" fontId="6" fillId="9" borderId="2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 textRotation="180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 applyProtection="1">
      <alignment textRotation="180" wrapText="1"/>
      <protection locked="0"/>
    </xf>
    <xf numFmtId="0" fontId="5" fillId="3" borderId="0" xfId="0" applyFont="1" applyFill="1" applyBorder="1" applyAlignment="1" applyProtection="1">
      <alignment vertical="center"/>
      <protection locked="0"/>
    </xf>
    <xf numFmtId="0" fontId="7" fillId="3" borderId="0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7" fillId="3" borderId="0" xfId="0" applyFont="1" applyFill="1" applyBorder="1" applyAlignment="1" applyProtection="1">
      <alignment vertical="center"/>
      <protection locked="0"/>
    </xf>
    <xf numFmtId="0" fontId="0" fillId="3" borderId="0" xfId="0" applyFont="1" applyFill="1" applyAlignment="1" applyProtection="1">
      <alignment horizontal="center"/>
      <protection locked="0"/>
    </xf>
    <xf numFmtId="0" fontId="0" fillId="3" borderId="0" xfId="0" applyFont="1" applyFill="1" applyProtection="1">
      <protection locked="0"/>
    </xf>
    <xf numFmtId="167" fontId="1" fillId="3" borderId="0" xfId="0" applyNumberFormat="1" applyFont="1" applyFill="1" applyBorder="1" applyAlignment="1" applyProtection="1">
      <alignment horizontal="left" vertical="center"/>
      <protection locked="0"/>
    </xf>
    <xf numFmtId="0" fontId="0" fillId="3" borderId="0" xfId="0" applyFill="1" applyBorder="1" applyProtection="1">
      <protection locked="0"/>
    </xf>
    <xf numFmtId="0" fontId="1" fillId="3" borderId="0" xfId="0" applyFont="1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 wrapText="1"/>
      <protection locked="0"/>
    </xf>
    <xf numFmtId="0" fontId="4" fillId="3" borderId="0" xfId="0" applyFont="1" applyFill="1" applyProtection="1">
      <protection locked="0"/>
    </xf>
    <xf numFmtId="0" fontId="0" fillId="3" borderId="0" xfId="0" applyFill="1" applyAlignment="1" applyProtection="1">
      <alignment wrapText="1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 wrapText="1"/>
      <protection locked="0"/>
    </xf>
    <xf numFmtId="14" fontId="1" fillId="3" borderId="0" xfId="0" applyNumberFormat="1" applyFont="1" applyFill="1" applyBorder="1" applyAlignment="1" applyProtection="1">
      <alignment vertical="center"/>
      <protection hidden="1"/>
    </xf>
    <xf numFmtId="0" fontId="0" fillId="3" borderId="0" xfId="0" applyFont="1" applyFill="1" applyBorder="1" applyProtection="1">
      <protection locked="0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textRotation="180" wrapText="1"/>
    </xf>
    <xf numFmtId="0" fontId="6" fillId="4" borderId="0" xfId="0" applyFont="1" applyFill="1" applyAlignment="1">
      <alignment horizontal="center" vertical="center" textRotation="180" wrapText="1"/>
    </xf>
    <xf numFmtId="0" fontId="9" fillId="3" borderId="0" xfId="0" applyFont="1" applyFill="1" applyAlignment="1"/>
    <xf numFmtId="1" fontId="10" fillId="3" borderId="0" xfId="0" applyNumberFormat="1" applyFont="1" applyFill="1" applyAlignment="1">
      <alignment horizontal="center"/>
    </xf>
    <xf numFmtId="0" fontId="10" fillId="3" borderId="0" xfId="0" applyFont="1" applyFill="1"/>
    <xf numFmtId="0" fontId="10" fillId="3" borderId="0" xfId="0" applyNumberFormat="1" applyFont="1" applyFill="1"/>
    <xf numFmtId="1" fontId="10" fillId="3" borderId="0" xfId="0" applyNumberFormat="1" applyFont="1" applyFill="1"/>
    <xf numFmtId="14" fontId="10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4" fontId="12" fillId="3" borderId="0" xfId="0" applyNumberFormat="1" applyFont="1" applyFill="1" applyBorder="1" applyAlignment="1" applyProtection="1">
      <alignment vertical="center"/>
      <protection hidden="1"/>
    </xf>
    <xf numFmtId="0" fontId="14" fillId="3" borderId="0" xfId="4" applyFont="1" applyFill="1" applyBorder="1" applyAlignment="1" applyProtection="1">
      <alignment horizontal="left" vertical="center"/>
      <protection locked="0"/>
    </xf>
    <xf numFmtId="0" fontId="13" fillId="3" borderId="0" xfId="0" applyFont="1" applyFill="1" applyBorder="1" applyProtection="1">
      <protection locked="0"/>
    </xf>
    <xf numFmtId="167" fontId="12" fillId="3" borderId="0" xfId="0" applyNumberFormat="1" applyFont="1" applyFill="1" applyBorder="1" applyAlignment="1" applyProtection="1">
      <alignment horizontal="left" vertical="center"/>
      <protection locked="0"/>
    </xf>
    <xf numFmtId="0" fontId="9" fillId="10" borderId="2" xfId="0" applyFont="1" applyFill="1" applyBorder="1" applyAlignment="1">
      <alignment horizontal="center" vertical="center" textRotation="180" wrapText="1"/>
    </xf>
    <xf numFmtId="0" fontId="9" fillId="5" borderId="2" xfId="0" applyFont="1" applyFill="1" applyBorder="1" applyAlignment="1">
      <alignment horizontal="center" vertical="center" textRotation="180" wrapText="1"/>
    </xf>
    <xf numFmtId="1" fontId="9" fillId="6" borderId="2" xfId="0" applyNumberFormat="1" applyFont="1" applyFill="1" applyBorder="1" applyAlignment="1">
      <alignment horizontal="center" vertical="center" textRotation="180" wrapText="1"/>
    </xf>
    <xf numFmtId="0" fontId="9" fillId="11" borderId="2" xfId="0" applyFont="1" applyFill="1" applyBorder="1" applyAlignment="1">
      <alignment horizontal="center" vertical="center" textRotation="180" wrapText="1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6" fillId="10" borderId="0" xfId="0" applyFont="1" applyFill="1" applyAlignment="1">
      <alignment horizontal="center" vertical="center" textRotation="180"/>
    </xf>
    <xf numFmtId="0" fontId="6" fillId="12" borderId="2" xfId="0" applyFont="1" applyFill="1" applyBorder="1" applyAlignment="1">
      <alignment horizontal="center" vertical="center"/>
    </xf>
    <xf numFmtId="0" fontId="0" fillId="3" borderId="32" xfId="0" applyFill="1" applyBorder="1" applyAlignment="1"/>
    <xf numFmtId="0" fontId="0" fillId="3" borderId="12" xfId="0" applyFill="1" applyBorder="1"/>
    <xf numFmtId="0" fontId="0" fillId="3" borderId="14" xfId="0" applyFill="1" applyBorder="1"/>
    <xf numFmtId="0" fontId="0" fillId="3" borderId="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14" borderId="2" xfId="0" applyFont="1" applyFill="1" applyBorder="1" applyAlignment="1">
      <alignment horizontal="center" vertical="center"/>
    </xf>
    <xf numFmtId="0" fontId="17" fillId="3" borderId="0" xfId="0" applyFont="1" applyFill="1" applyBorder="1" applyAlignment="1" applyProtection="1">
      <alignment vertical="center"/>
      <protection locked="0"/>
    </xf>
    <xf numFmtId="1" fontId="17" fillId="3" borderId="0" xfId="0" applyNumberFormat="1" applyFont="1" applyFill="1" applyBorder="1" applyAlignment="1" applyProtection="1">
      <alignment horizontal="center" vertical="center"/>
      <protection locked="0"/>
    </xf>
    <xf numFmtId="0" fontId="18" fillId="3" borderId="0" xfId="4" applyFont="1" applyFill="1" applyBorder="1" applyAlignment="1" applyProtection="1">
      <alignment horizontal="right" vertical="center"/>
      <protection locked="0"/>
    </xf>
    <xf numFmtId="0" fontId="18" fillId="3" borderId="0" xfId="4" applyFont="1" applyFill="1" applyBorder="1" applyAlignment="1" applyProtection="1">
      <alignment vertical="center"/>
      <protection locked="0"/>
    </xf>
    <xf numFmtId="0" fontId="18" fillId="3" borderId="0" xfId="4" applyFont="1" applyFill="1" applyBorder="1" applyAlignment="1" applyProtection="1">
      <alignment horizontal="center" vertical="center"/>
      <protection locked="0"/>
    </xf>
    <xf numFmtId="0" fontId="18" fillId="3" borderId="0" xfId="4" applyFont="1" applyFill="1" applyBorder="1" applyAlignment="1" applyProtection="1">
      <alignment horizontal="left" vertical="center"/>
      <protection locked="0"/>
    </xf>
    <xf numFmtId="0" fontId="17" fillId="3" borderId="0" xfId="0" applyFont="1" applyFill="1" applyBorder="1" applyAlignment="1" applyProtection="1">
      <alignment horizontal="right" vertical="center"/>
      <protection locked="0"/>
    </xf>
    <xf numFmtId="1" fontId="17" fillId="3" borderId="0" xfId="0" applyNumberFormat="1" applyFont="1" applyFill="1" applyBorder="1" applyAlignment="1" applyProtection="1">
      <alignment horizontal="left" vertical="center"/>
      <protection locked="0"/>
    </xf>
    <xf numFmtId="0" fontId="4" fillId="3" borderId="13" xfId="0" applyFont="1" applyFill="1" applyBorder="1" applyAlignment="1" applyProtection="1">
      <alignment vertical="center" wrapText="1"/>
      <protection locked="0"/>
    </xf>
    <xf numFmtId="0" fontId="4" fillId="3" borderId="10" xfId="0" applyFont="1" applyFill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4" fillId="3" borderId="17" xfId="0" applyFont="1" applyFill="1" applyBorder="1" applyAlignment="1" applyProtection="1">
      <alignment vertical="center" wrapText="1"/>
      <protection locked="0"/>
    </xf>
    <xf numFmtId="0" fontId="4" fillId="3" borderId="15" xfId="0" applyFont="1" applyFill="1" applyBorder="1" applyAlignment="1" applyProtection="1">
      <alignment horizontal="center" vertical="center" wrapText="1"/>
      <protection hidden="1"/>
    </xf>
    <xf numFmtId="0" fontId="4" fillId="3" borderId="16" xfId="0" applyFont="1" applyFill="1" applyBorder="1" applyAlignment="1" applyProtection="1">
      <alignment vertical="center" wrapText="1"/>
      <protection locked="0"/>
    </xf>
    <xf numFmtId="0" fontId="4" fillId="3" borderId="13" xfId="0" applyFont="1" applyFill="1" applyBorder="1" applyAlignment="1" applyProtection="1">
      <alignment wrapText="1"/>
      <protection locked="0"/>
    </xf>
    <xf numFmtId="0" fontId="4" fillId="3" borderId="15" xfId="0" applyFont="1" applyFill="1" applyBorder="1" applyAlignment="1" applyProtection="1">
      <alignment vertical="center" wrapText="1"/>
      <protection locked="0"/>
    </xf>
    <xf numFmtId="0" fontId="4" fillId="3" borderId="16" xfId="0" applyFont="1" applyFill="1" applyBorder="1" applyAlignment="1" applyProtection="1">
      <alignment wrapText="1"/>
      <protection locked="0"/>
    </xf>
    <xf numFmtId="0" fontId="4" fillId="3" borderId="10" xfId="0" applyFont="1" applyFill="1" applyBorder="1" applyAlignment="1" applyProtection="1">
      <alignment vertical="center" wrapText="1"/>
      <protection locked="0"/>
    </xf>
    <xf numFmtId="0" fontId="4" fillId="3" borderId="11" xfId="0" applyFont="1" applyFill="1" applyBorder="1" applyAlignment="1" applyProtection="1">
      <alignment wrapText="1"/>
      <protection locked="0"/>
    </xf>
    <xf numFmtId="0" fontId="4" fillId="10" borderId="15" xfId="0" applyFont="1" applyFill="1" applyBorder="1" applyAlignment="1" applyProtection="1">
      <alignment horizontal="center" vertical="center" wrapText="1"/>
      <protection hidden="1"/>
    </xf>
    <xf numFmtId="0" fontId="4" fillId="10" borderId="15" xfId="0" applyFont="1" applyFill="1" applyBorder="1" applyAlignment="1" applyProtection="1">
      <alignment vertical="center"/>
      <protection locked="0"/>
    </xf>
    <xf numFmtId="0" fontId="4" fillId="10" borderId="15" xfId="0" applyFont="1" applyFill="1" applyBorder="1" applyAlignment="1" applyProtection="1">
      <alignment vertical="center" wrapText="1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>
      <alignment horizontal="center" vertical="center" textRotation="180" wrapText="1"/>
    </xf>
    <xf numFmtId="0" fontId="9" fillId="14" borderId="3" xfId="0" applyFont="1" applyFill="1" applyBorder="1" applyAlignment="1">
      <alignment horizontal="center" vertical="center" textRotation="180" wrapText="1"/>
    </xf>
    <xf numFmtId="0" fontId="9" fillId="3" borderId="3" xfId="0" applyFont="1" applyFill="1" applyBorder="1" applyAlignment="1">
      <alignment horizontal="center" vertical="center" textRotation="180" wrapText="1"/>
    </xf>
    <xf numFmtId="0" fontId="9" fillId="8" borderId="3" xfId="0" applyFont="1" applyFill="1" applyBorder="1" applyAlignment="1">
      <alignment horizontal="center" vertical="center" textRotation="180" wrapText="1"/>
    </xf>
    <xf numFmtId="0" fontId="9" fillId="9" borderId="3" xfId="0" applyFont="1" applyFill="1" applyBorder="1" applyAlignment="1">
      <alignment horizontal="center" vertical="center" textRotation="180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20" fontId="0" fillId="3" borderId="2" xfId="0" applyNumberForma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Border="1"/>
    <xf numFmtId="0" fontId="0" fillId="3" borderId="0" xfId="0" applyFill="1" applyBorder="1" applyAlignment="1" applyProtection="1">
      <alignment textRotation="180" wrapText="1"/>
      <protection locked="0"/>
    </xf>
    <xf numFmtId="0" fontId="20" fillId="3" borderId="0" xfId="0" applyFont="1" applyFill="1" applyBorder="1" applyAlignment="1" applyProtection="1">
      <alignment vertical="center"/>
      <protection locked="0"/>
    </xf>
    <xf numFmtId="0" fontId="20" fillId="3" borderId="0" xfId="0" applyFont="1" applyFill="1" applyBorder="1" applyAlignment="1" applyProtection="1">
      <alignment horizontal="right" vertical="center"/>
      <protection locked="0"/>
    </xf>
    <xf numFmtId="0" fontId="8" fillId="3" borderId="0" xfId="0" applyFont="1" applyFill="1" applyBorder="1" applyAlignment="1" applyProtection="1">
      <alignment vertical="center"/>
      <protection locked="0"/>
    </xf>
    <xf numFmtId="0" fontId="7" fillId="3" borderId="0" xfId="0" applyFont="1" applyFill="1" applyBorder="1" applyAlignment="1" applyProtection="1">
      <alignment vertical="center" wrapText="1"/>
      <protection locked="0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9" fillId="4" borderId="3" xfId="0" applyFont="1" applyFill="1" applyBorder="1" applyAlignment="1">
      <alignment horizontal="center" vertical="center" textRotation="180" wrapText="1"/>
    </xf>
    <xf numFmtId="0" fontId="9" fillId="10" borderId="3" xfId="0" applyFont="1" applyFill="1" applyBorder="1" applyAlignment="1">
      <alignment horizontal="center" vertical="center" textRotation="180" wrapText="1"/>
    </xf>
    <xf numFmtId="0" fontId="6" fillId="10" borderId="2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vertical="center" wrapText="1"/>
    </xf>
    <xf numFmtId="14" fontId="0" fillId="3" borderId="0" xfId="0" applyNumberFormat="1" applyFill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44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0" xfId="0" applyFont="1" applyFill="1" applyBorder="1" applyAlignment="1" applyProtection="1">
      <alignment textRotation="180" wrapText="1"/>
      <protection locked="0"/>
    </xf>
    <xf numFmtId="0" fontId="21" fillId="3" borderId="0" xfId="0" applyFont="1" applyFill="1" applyBorder="1" applyAlignment="1" applyProtection="1">
      <alignment horizontal="right" textRotation="180" wrapText="1"/>
      <protection locked="0"/>
    </xf>
    <xf numFmtId="0" fontId="20" fillId="3" borderId="34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0" fontId="0" fillId="3" borderId="2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5" xfId="0" applyFill="1" applyBorder="1"/>
    <xf numFmtId="0" fontId="0" fillId="3" borderId="16" xfId="0" applyFill="1" applyBorder="1"/>
    <xf numFmtId="0" fontId="22" fillId="13" borderId="8" xfId="17" applyFont="1" applyBorder="1" applyAlignment="1">
      <alignment horizontal="center"/>
    </xf>
    <xf numFmtId="0" fontId="0" fillId="3" borderId="48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18" xfId="0" applyFill="1" applyBorder="1"/>
    <xf numFmtId="0" fontId="0" fillId="3" borderId="49" xfId="0" applyFill="1" applyBorder="1"/>
    <xf numFmtId="0" fontId="0" fillId="3" borderId="19" xfId="0" applyFill="1" applyBorder="1"/>
    <xf numFmtId="0" fontId="1" fillId="3" borderId="50" xfId="0" applyFont="1" applyFill="1" applyBorder="1"/>
    <xf numFmtId="0" fontId="1" fillId="3" borderId="51" xfId="0" applyFont="1" applyFill="1" applyBorder="1"/>
    <xf numFmtId="0" fontId="1" fillId="3" borderId="42" xfId="0" applyFont="1" applyFill="1" applyBorder="1"/>
    <xf numFmtId="0" fontId="1" fillId="3" borderId="52" xfId="0" applyFont="1" applyFill="1" applyBorder="1"/>
    <xf numFmtId="0" fontId="1" fillId="3" borderId="53" xfId="0" applyFont="1" applyFill="1" applyBorder="1"/>
    <xf numFmtId="0" fontId="1" fillId="3" borderId="43" xfId="0" applyFont="1" applyFill="1" applyBorder="1"/>
    <xf numFmtId="0" fontId="0" fillId="3" borderId="54" xfId="0" applyFill="1" applyBorder="1"/>
    <xf numFmtId="0" fontId="0" fillId="3" borderId="30" xfId="0" applyFill="1" applyBorder="1"/>
    <xf numFmtId="0" fontId="23" fillId="3" borderId="18" xfId="0" applyFont="1" applyFill="1" applyBorder="1"/>
    <xf numFmtId="0" fontId="23" fillId="3" borderId="49" xfId="0" applyFont="1" applyFill="1" applyBorder="1"/>
    <xf numFmtId="0" fontId="23" fillId="3" borderId="19" xfId="0" applyFont="1" applyFill="1" applyBorder="1"/>
    <xf numFmtId="0" fontId="9" fillId="15" borderId="3" xfId="0" applyFont="1" applyFill="1" applyBorder="1" applyAlignment="1">
      <alignment horizontal="center" vertical="center" textRotation="180" wrapText="1"/>
    </xf>
    <xf numFmtId="0" fontId="6" fillId="15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26" fillId="16" borderId="8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vertical="center"/>
    </xf>
    <xf numFmtId="0" fontId="9" fillId="3" borderId="27" xfId="0" applyFont="1" applyFill="1" applyBorder="1" applyAlignment="1">
      <alignment vertical="center"/>
    </xf>
    <xf numFmtId="0" fontId="9" fillId="3" borderId="24" xfId="0" applyFont="1" applyFill="1" applyBorder="1" applyAlignment="1">
      <alignment vertical="center"/>
    </xf>
    <xf numFmtId="1" fontId="9" fillId="11" borderId="2" xfId="0" applyNumberFormat="1" applyFont="1" applyFill="1" applyBorder="1" applyAlignment="1">
      <alignment horizontal="center" vertical="center" textRotation="180" wrapText="1"/>
    </xf>
    <xf numFmtId="1" fontId="6" fillId="11" borderId="2" xfId="0" applyNumberFormat="1" applyFont="1" applyFill="1" applyBorder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 textRotation="180"/>
    </xf>
    <xf numFmtId="14" fontId="11" fillId="3" borderId="22" xfId="0" applyNumberFormat="1" applyFont="1" applyFill="1" applyBorder="1" applyAlignment="1">
      <alignment horizontal="center" vertical="center" wrapText="1"/>
    </xf>
    <xf numFmtId="1" fontId="11" fillId="3" borderId="22" xfId="0" applyNumberFormat="1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textRotation="180" wrapText="1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Border="1" applyAlignment="1" applyProtection="1">
      <alignment horizontal="center" vertical="center"/>
      <protection locked="0"/>
    </xf>
    <xf numFmtId="167" fontId="20" fillId="3" borderId="0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18" fillId="3" borderId="0" xfId="4" applyFont="1" applyFill="1" applyBorder="1" applyAlignment="1" applyProtection="1">
      <protection locked="0"/>
    </xf>
    <xf numFmtId="1" fontId="17" fillId="3" borderId="0" xfId="0" applyNumberFormat="1" applyFont="1" applyFill="1" applyBorder="1" applyAlignment="1" applyProtection="1">
      <alignment horizontal="left"/>
      <protection locked="0"/>
    </xf>
    <xf numFmtId="1" fontId="17" fillId="3" borderId="0" xfId="0" applyNumberFormat="1" applyFont="1" applyFill="1" applyBorder="1" applyAlignment="1" applyProtection="1">
      <alignment horizontal="center"/>
      <protection locked="0"/>
    </xf>
    <xf numFmtId="0" fontId="7" fillId="10" borderId="15" xfId="0" applyFont="1" applyFill="1" applyBorder="1" applyAlignment="1" applyProtection="1">
      <alignment horizontal="center" wrapText="1"/>
      <protection hidden="1"/>
    </xf>
    <xf numFmtId="0" fontId="0" fillId="3" borderId="0" xfId="0" applyFill="1" applyAlignment="1" applyProtection="1">
      <protection locked="0"/>
    </xf>
    <xf numFmtId="0" fontId="8" fillId="3" borderId="8" xfId="0" applyFont="1" applyFill="1" applyBorder="1" applyAlignment="1" applyProtection="1">
      <alignment horizontal="center"/>
      <protection locked="0"/>
    </xf>
    <xf numFmtId="0" fontId="8" fillId="3" borderId="0" xfId="0" applyFont="1" applyFill="1" applyBorder="1" applyAlignment="1" applyProtection="1">
      <alignment horizontal="center"/>
      <protection locked="0"/>
    </xf>
    <xf numFmtId="0" fontId="7" fillId="3" borderId="10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 wrapText="1"/>
      <protection hidden="1"/>
    </xf>
    <xf numFmtId="0" fontId="20" fillId="3" borderId="0" xfId="0" applyFont="1" applyFill="1" applyBorder="1" applyAlignment="1" applyProtection="1">
      <alignment horizontal="center" vertical="center"/>
      <protection locked="0"/>
    </xf>
    <xf numFmtId="167" fontId="20" fillId="3" borderId="4" xfId="0" applyNumberFormat="1" applyFont="1" applyFill="1" applyBorder="1" applyAlignment="1" applyProtection="1">
      <alignment horizontal="center" vertical="center"/>
      <protection hidden="1"/>
    </xf>
    <xf numFmtId="1" fontId="20" fillId="3" borderId="0" xfId="0" applyNumberFormat="1" applyFont="1" applyFill="1" applyBorder="1" applyAlignment="1" applyProtection="1">
      <alignment horizontal="center" vertical="center"/>
      <protection hidden="1"/>
    </xf>
    <xf numFmtId="0" fontId="6" fillId="10" borderId="0" xfId="0" applyFont="1" applyFill="1" applyAlignment="1">
      <alignment horizontal="center" vertical="center"/>
    </xf>
    <xf numFmtId="0" fontId="28" fillId="3" borderId="0" xfId="17" applyFont="1" applyFill="1" applyBorder="1" applyAlignment="1" applyProtection="1">
      <alignment vertical="center"/>
      <protection locked="0"/>
    </xf>
    <xf numFmtId="14" fontId="8" fillId="3" borderId="4" xfId="0" applyNumberFormat="1" applyFont="1" applyFill="1" applyBorder="1" applyAlignment="1" applyProtection="1">
      <alignment horizontal="center" vertical="center"/>
      <protection hidden="1"/>
    </xf>
    <xf numFmtId="167" fontId="20" fillId="3" borderId="0" xfId="0" applyNumberFormat="1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vertical="center" wrapText="1"/>
      <protection locked="0"/>
    </xf>
    <xf numFmtId="0" fontId="4" fillId="3" borderId="17" xfId="0" applyFont="1" applyFill="1" applyBorder="1" applyAlignment="1" applyProtection="1">
      <alignment wrapText="1"/>
      <protection locked="0"/>
    </xf>
    <xf numFmtId="0" fontId="17" fillId="3" borderId="3" xfId="0" applyFont="1" applyFill="1" applyBorder="1" applyAlignment="1" applyProtection="1">
      <alignment vertical="center" wrapText="1"/>
      <protection locked="0"/>
    </xf>
    <xf numFmtId="0" fontId="7" fillId="3" borderId="59" xfId="0" applyFont="1" applyFill="1" applyBorder="1" applyAlignment="1" applyProtection="1">
      <alignment horizontal="center" vertical="center" wrapText="1"/>
      <protection hidden="1"/>
    </xf>
    <xf numFmtId="1" fontId="24" fillId="3" borderId="4" xfId="0" applyNumberFormat="1" applyFont="1" applyFill="1" applyBorder="1" applyAlignment="1" applyProtection="1">
      <alignment horizontal="center" vertical="center"/>
      <protection locked="0"/>
    </xf>
    <xf numFmtId="0" fontId="29" fillId="3" borderId="2" xfId="0" applyFont="1" applyFill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0" fillId="3" borderId="0" xfId="0" applyFont="1" applyFill="1"/>
    <xf numFmtId="1" fontId="29" fillId="3" borderId="2" xfId="0" applyNumberFormat="1" applyFont="1" applyFill="1" applyBorder="1" applyAlignment="1" applyProtection="1">
      <alignment horizontal="center" vertical="center"/>
      <protection hidden="1"/>
    </xf>
    <xf numFmtId="14" fontId="29" fillId="3" borderId="2" xfId="0" applyNumberFormat="1" applyFont="1" applyFill="1" applyBorder="1" applyAlignment="1" applyProtection="1">
      <alignment horizontal="center"/>
      <protection hidden="1"/>
    </xf>
    <xf numFmtId="1" fontId="29" fillId="3" borderId="2" xfId="0" applyNumberFormat="1" applyFont="1" applyFill="1" applyBorder="1" applyAlignment="1" applyProtection="1">
      <alignment horizontal="center"/>
      <protection hidden="1"/>
    </xf>
    <xf numFmtId="1" fontId="31" fillId="3" borderId="2" xfId="0" applyNumberFormat="1" applyFont="1" applyFill="1" applyBorder="1" applyAlignment="1">
      <alignment horizontal="center" vertical="center"/>
    </xf>
    <xf numFmtId="0" fontId="30" fillId="3" borderId="2" xfId="0" applyFont="1" applyFill="1" applyBorder="1"/>
    <xf numFmtId="0" fontId="32" fillId="3" borderId="2" xfId="0" applyFont="1" applyFill="1" applyBorder="1" applyAlignment="1">
      <alignment horizontal="center"/>
    </xf>
    <xf numFmtId="1" fontId="29" fillId="3" borderId="2" xfId="15" applyNumberFormat="1" applyFont="1" applyFill="1" applyBorder="1" applyAlignment="1">
      <alignment horizontal="center"/>
    </xf>
    <xf numFmtId="0" fontId="29" fillId="3" borderId="2" xfId="15" applyFont="1" applyFill="1" applyBorder="1" applyAlignment="1">
      <alignment horizontal="center"/>
    </xf>
    <xf numFmtId="1" fontId="29" fillId="3" borderId="2" xfId="0" applyNumberFormat="1" applyFont="1" applyFill="1" applyBorder="1" applyAlignment="1">
      <alignment horizontal="center"/>
    </xf>
    <xf numFmtId="0" fontId="29" fillId="3" borderId="2" xfId="5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textRotation="180"/>
    </xf>
    <xf numFmtId="0" fontId="24" fillId="3" borderId="0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Border="1" applyAlignment="1" applyProtection="1">
      <alignment horizontal="center" vertical="center"/>
      <protection locked="0"/>
    </xf>
    <xf numFmtId="0" fontId="24" fillId="3" borderId="8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vertical="center"/>
    </xf>
    <xf numFmtId="0" fontId="8" fillId="3" borderId="0" xfId="0" applyFont="1" applyFill="1" applyBorder="1" applyAlignment="1" applyProtection="1">
      <alignment horizontal="right" vertical="center"/>
      <protection locked="0"/>
    </xf>
    <xf numFmtId="1" fontId="8" fillId="3" borderId="0" xfId="0" applyNumberFormat="1" applyFont="1" applyFill="1" applyBorder="1" applyAlignment="1" applyProtection="1">
      <alignment horizontal="left" vertical="center"/>
      <protection locked="0"/>
    </xf>
    <xf numFmtId="0" fontId="7" fillId="3" borderId="60" xfId="0" applyFont="1" applyFill="1" applyBorder="1" applyAlignment="1" applyProtection="1">
      <alignment horizontal="center" vertical="center" wrapText="1"/>
      <protection hidden="1"/>
    </xf>
    <xf numFmtId="0" fontId="7" fillId="10" borderId="3" xfId="0" applyFont="1" applyFill="1" applyBorder="1" applyAlignment="1" applyProtection="1">
      <alignment horizontal="center" wrapText="1"/>
      <protection hidden="1"/>
    </xf>
    <xf numFmtId="0" fontId="4" fillId="10" borderId="3" xfId="0" applyFont="1" applyFill="1" applyBorder="1" applyAlignment="1" applyProtection="1">
      <alignment horizontal="center" vertical="center" wrapText="1"/>
      <protection hidden="1"/>
    </xf>
    <xf numFmtId="0" fontId="17" fillId="10" borderId="3" xfId="0" applyFont="1" applyFill="1" applyBorder="1" applyAlignment="1" applyProtection="1">
      <alignment vertical="center" wrapText="1"/>
      <protection locked="0"/>
    </xf>
    <xf numFmtId="0" fontId="4" fillId="10" borderId="3" xfId="0" applyFont="1" applyFill="1" applyBorder="1" applyAlignment="1" applyProtection="1">
      <alignment vertical="center" wrapText="1"/>
      <protection locked="0"/>
    </xf>
    <xf numFmtId="0" fontId="22" fillId="3" borderId="0" xfId="17" applyFont="1" applyFill="1" applyBorder="1" applyAlignment="1" applyProtection="1">
      <alignment vertical="center"/>
      <protection locked="0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textRotation="180" wrapText="1"/>
      <protection locked="0"/>
    </xf>
    <xf numFmtId="0" fontId="4" fillId="3" borderId="60" xfId="0" applyFont="1" applyFill="1" applyBorder="1" applyAlignment="1" applyProtection="1">
      <alignment horizontal="center" vertical="center" wrapText="1"/>
      <protection hidden="1"/>
    </xf>
    <xf numFmtId="0" fontId="4" fillId="3" borderId="60" xfId="0" applyFont="1" applyFill="1" applyBorder="1" applyAlignment="1" applyProtection="1">
      <alignment vertical="center"/>
      <protection locked="0"/>
    </xf>
    <xf numFmtId="0" fontId="4" fillId="3" borderId="60" xfId="0" applyFont="1" applyFill="1" applyBorder="1" applyAlignment="1" applyProtection="1">
      <alignment vertical="center" wrapText="1"/>
      <protection locked="0"/>
    </xf>
    <xf numFmtId="0" fontId="4" fillId="3" borderId="65" xfId="0" applyFont="1" applyFill="1" applyBorder="1" applyAlignment="1" applyProtection="1">
      <alignment wrapText="1"/>
      <protection locked="0"/>
    </xf>
    <xf numFmtId="0" fontId="0" fillId="17" borderId="63" xfId="0" applyFill="1" applyBorder="1"/>
    <xf numFmtId="0" fontId="0" fillId="17" borderId="12" xfId="0" applyFill="1" applyBorder="1"/>
    <xf numFmtId="0" fontId="0" fillId="17" borderId="13" xfId="0" applyFill="1" applyBorder="1"/>
    <xf numFmtId="0" fontId="1" fillId="3" borderId="12" xfId="0" applyFont="1" applyFill="1" applyBorder="1" applyAlignment="1">
      <alignment horizontal="center"/>
    </xf>
    <xf numFmtId="0" fontId="1" fillId="3" borderId="6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14" fontId="24" fillId="3" borderId="0" xfId="0" quotePrefix="1" applyNumberFormat="1" applyFont="1" applyFill="1" applyBorder="1" applyAlignment="1" applyProtection="1">
      <alignment horizontal="center" vertical="center"/>
      <protection locked="0"/>
    </xf>
    <xf numFmtId="0" fontId="0" fillId="3" borderId="66" xfId="0" applyFill="1" applyBorder="1" applyAlignment="1">
      <alignment horizontal="center"/>
    </xf>
    <xf numFmtId="0" fontId="0" fillId="3" borderId="67" xfId="0" applyFill="1" applyBorder="1"/>
    <xf numFmtId="0" fontId="24" fillId="3" borderId="0" xfId="0" applyFont="1" applyFill="1" applyBorder="1"/>
    <xf numFmtId="0" fontId="0" fillId="3" borderId="0" xfId="0" applyFill="1" applyBorder="1" applyAlignment="1">
      <alignment horizontal="center"/>
    </xf>
    <xf numFmtId="0" fontId="0" fillId="3" borderId="67" xfId="0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center"/>
    </xf>
    <xf numFmtId="0" fontId="0" fillId="17" borderId="70" xfId="0" applyFill="1" applyBorder="1"/>
    <xf numFmtId="0" fontId="1" fillId="3" borderId="70" xfId="0" applyFont="1" applyFill="1" applyBorder="1" applyAlignment="1">
      <alignment horizontal="left"/>
    </xf>
    <xf numFmtId="0" fontId="15" fillId="3" borderId="83" xfId="0" applyFont="1" applyFill="1" applyBorder="1"/>
    <xf numFmtId="0" fontId="24" fillId="3" borderId="0" xfId="0" applyFont="1" applyFill="1" applyBorder="1" applyAlignment="1" applyProtection="1">
      <alignment horizontal="center" vertical="center"/>
      <protection locked="0"/>
    </xf>
    <xf numFmtId="0" fontId="33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hidden="1"/>
    </xf>
    <xf numFmtId="0" fontId="53" fillId="41" borderId="8" xfId="0" applyFont="1" applyFill="1" applyBorder="1" applyAlignment="1">
      <alignment horizontal="center" vertical="center" wrapText="1"/>
    </xf>
    <xf numFmtId="0" fontId="53" fillId="41" borderId="84" xfId="0" applyFont="1" applyFill="1" applyBorder="1" applyAlignment="1">
      <alignment horizontal="center" vertical="center" wrapText="1"/>
    </xf>
    <xf numFmtId="0" fontId="54" fillId="40" borderId="30" xfId="0" applyFont="1" applyFill="1" applyBorder="1" applyAlignment="1">
      <alignment horizontal="center" vertical="center"/>
    </xf>
    <xf numFmtId="0" fontId="55" fillId="41" borderId="44" xfId="0" applyFont="1" applyFill="1" applyBorder="1" applyAlignment="1">
      <alignment horizontal="center" vertical="center"/>
    </xf>
    <xf numFmtId="14" fontId="55" fillId="41" borderId="44" xfId="0" applyNumberFormat="1" applyFont="1" applyFill="1" applyBorder="1" applyAlignment="1">
      <alignment horizontal="center" vertical="center"/>
    </xf>
    <xf numFmtId="0" fontId="55" fillId="41" borderId="44" xfId="0" applyFont="1" applyFill="1" applyBorder="1" applyAlignment="1">
      <alignment vertical="center"/>
    </xf>
    <xf numFmtId="0" fontId="53" fillId="41" borderId="44" xfId="0" applyFont="1" applyFill="1" applyBorder="1" applyAlignment="1">
      <alignment horizontal="center" vertical="center"/>
    </xf>
    <xf numFmtId="0" fontId="54" fillId="42" borderId="30" xfId="0" applyFont="1" applyFill="1" applyBorder="1" applyAlignment="1">
      <alignment horizontal="center" vertical="center"/>
    </xf>
    <xf numFmtId="0" fontId="55" fillId="42" borderId="44" xfId="0" applyFont="1" applyFill="1" applyBorder="1" applyAlignment="1">
      <alignment horizontal="center" vertical="center"/>
    </xf>
    <xf numFmtId="0" fontId="55" fillId="42" borderId="44" xfId="0" applyFont="1" applyFill="1" applyBorder="1" applyAlignment="1">
      <alignment vertical="center"/>
    </xf>
    <xf numFmtId="0" fontId="53" fillId="42" borderId="44" xfId="0" applyFont="1" applyFill="1" applyBorder="1" applyAlignment="1">
      <alignment horizontal="center" vertical="center"/>
    </xf>
    <xf numFmtId="0" fontId="54" fillId="42" borderId="44" xfId="0" applyFont="1" applyFill="1" applyBorder="1" applyAlignment="1">
      <alignment horizontal="center" vertical="center"/>
    </xf>
    <xf numFmtId="0" fontId="58" fillId="43" borderId="64" xfId="0" applyFont="1" applyFill="1" applyBorder="1" applyAlignment="1">
      <alignment horizontal="center" vertical="center"/>
    </xf>
    <xf numFmtId="0" fontId="58" fillId="43" borderId="0" xfId="0" applyFont="1" applyFill="1" applyAlignment="1">
      <alignment horizontal="center" vertical="center"/>
    </xf>
    <xf numFmtId="0" fontId="59" fillId="44" borderId="51" xfId="0" applyFont="1" applyFill="1" applyBorder="1" applyAlignment="1">
      <alignment vertical="center"/>
    </xf>
    <xf numFmtId="0" fontId="60" fillId="44" borderId="9" xfId="0" applyFont="1" applyFill="1" applyBorder="1" applyAlignment="1">
      <alignment horizontal="center" vertical="center"/>
    </xf>
    <xf numFmtId="0" fontId="61" fillId="44" borderId="52" xfId="0" applyFont="1" applyFill="1" applyBorder="1" applyAlignment="1">
      <alignment horizontal="center" vertical="center"/>
    </xf>
    <xf numFmtId="0" fontId="61" fillId="44" borderId="51" xfId="0" applyFont="1" applyFill="1" applyBorder="1" applyAlignment="1">
      <alignment horizontal="center" vertical="center"/>
    </xf>
    <xf numFmtId="0" fontId="62" fillId="44" borderId="54" xfId="0" applyFont="1" applyFill="1" applyBorder="1" applyAlignment="1">
      <alignment horizontal="center" vertical="center"/>
    </xf>
    <xf numFmtId="0" fontId="59" fillId="0" borderId="51" xfId="0" applyFont="1" applyBorder="1" applyAlignment="1">
      <alignment vertical="center"/>
    </xf>
    <xf numFmtId="0" fontId="60" fillId="0" borderId="58" xfId="0" applyFont="1" applyBorder="1" applyAlignment="1">
      <alignment horizontal="center" vertical="center"/>
    </xf>
    <xf numFmtId="0" fontId="61" fillId="0" borderId="53" xfId="0" applyFont="1" applyBorder="1" applyAlignment="1">
      <alignment horizontal="center" vertical="center"/>
    </xf>
    <xf numFmtId="0" fontId="61" fillId="0" borderId="51" xfId="0" applyFont="1" applyBorder="1" applyAlignment="1">
      <alignment horizontal="center" vertical="center"/>
    </xf>
    <xf numFmtId="0" fontId="62" fillId="0" borderId="54" xfId="0" applyFont="1" applyBorder="1" applyAlignment="1">
      <alignment horizontal="center" vertical="center"/>
    </xf>
    <xf numFmtId="0" fontId="60" fillId="44" borderId="58" xfId="0" applyFont="1" applyFill="1" applyBorder="1" applyAlignment="1">
      <alignment horizontal="center" vertical="center"/>
    </xf>
    <xf numFmtId="0" fontId="61" fillId="44" borderId="53" xfId="0" applyFont="1" applyFill="1" applyBorder="1" applyAlignment="1">
      <alignment horizontal="center" vertical="center"/>
    </xf>
    <xf numFmtId="0" fontId="59" fillId="44" borderId="42" xfId="0" applyFont="1" applyFill="1" applyBorder="1" applyAlignment="1">
      <alignment vertical="center"/>
    </xf>
    <xf numFmtId="0" fontId="60" fillId="44" borderId="86" xfId="0" applyFont="1" applyFill="1" applyBorder="1" applyAlignment="1">
      <alignment horizontal="center" vertical="center"/>
    </xf>
    <xf numFmtId="0" fontId="61" fillId="44" borderId="43" xfId="0" applyFont="1" applyFill="1" applyBorder="1" applyAlignment="1">
      <alignment horizontal="center" vertical="center"/>
    </xf>
    <xf numFmtId="0" fontId="61" fillId="44" borderId="42" xfId="0" applyFont="1" applyFill="1" applyBorder="1" applyAlignment="1">
      <alignment horizontal="center" vertical="center"/>
    </xf>
    <xf numFmtId="0" fontId="62" fillId="44" borderId="30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vertical="center"/>
      <protection locked="0"/>
    </xf>
    <xf numFmtId="0" fontId="4" fillId="3" borderId="10" xfId="0" applyFont="1" applyFill="1" applyBorder="1" applyAlignment="1" applyProtection="1">
      <alignment vertical="center"/>
      <protection locked="0"/>
    </xf>
    <xf numFmtId="0" fontId="4" fillId="3" borderId="32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Alignment="1" applyProtection="1">
      <alignment vertical="center"/>
      <protection locked="0"/>
    </xf>
    <xf numFmtId="0" fontId="24" fillId="3" borderId="0" xfId="0" applyFont="1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wrapText="1"/>
      <protection locked="0"/>
    </xf>
    <xf numFmtId="0" fontId="8" fillId="3" borderId="0" xfId="0" applyFont="1" applyFill="1" applyBorder="1" applyAlignment="1" applyProtection="1">
      <protection locked="0"/>
    </xf>
    <xf numFmtId="0" fontId="8" fillId="3" borderId="53" xfId="0" applyFont="1" applyFill="1" applyBorder="1" applyAlignment="1" applyProtection="1"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7" fillId="3" borderId="87" xfId="0" applyFont="1" applyFill="1" applyBorder="1" applyAlignment="1" applyProtection="1">
      <alignment horizontal="center" vertical="center" wrapText="1"/>
      <protection hidden="1"/>
    </xf>
    <xf numFmtId="0" fontId="4" fillId="3" borderId="87" xfId="0" applyFont="1" applyFill="1" applyBorder="1" applyAlignment="1" applyProtection="1">
      <alignment horizontal="center" vertical="center" wrapText="1"/>
      <protection hidden="1"/>
    </xf>
    <xf numFmtId="0" fontId="4" fillId="3" borderId="87" xfId="0" applyFont="1" applyFill="1" applyBorder="1" applyAlignment="1" applyProtection="1">
      <alignment vertical="center"/>
      <protection locked="0"/>
    </xf>
    <xf numFmtId="0" fontId="4" fillId="3" borderId="87" xfId="0" applyFont="1" applyFill="1" applyBorder="1" applyAlignment="1" applyProtection="1">
      <alignment vertical="center" wrapText="1"/>
      <protection locked="0"/>
    </xf>
    <xf numFmtId="0" fontId="4" fillId="3" borderId="91" xfId="0" applyFont="1" applyFill="1" applyBorder="1" applyAlignment="1" applyProtection="1">
      <alignment vertical="center"/>
      <protection locked="0"/>
    </xf>
    <xf numFmtId="0" fontId="4" fillId="3" borderId="88" xfId="0" applyFont="1" applyFill="1" applyBorder="1" applyAlignment="1" applyProtection="1">
      <alignment vertical="center"/>
      <protection locked="0"/>
    </xf>
    <xf numFmtId="0" fontId="7" fillId="3" borderId="92" xfId="0" applyFont="1" applyFill="1" applyBorder="1" applyAlignment="1" applyProtection="1">
      <alignment horizontal="center" vertical="center" wrapText="1"/>
      <protection hidden="1"/>
    </xf>
    <xf numFmtId="0" fontId="4" fillId="3" borderId="92" xfId="0" applyFont="1" applyFill="1" applyBorder="1" applyAlignment="1" applyProtection="1">
      <alignment horizontal="center" vertical="center" wrapText="1"/>
      <protection hidden="1"/>
    </xf>
    <xf numFmtId="0" fontId="4" fillId="3" borderId="92" xfId="0" applyFont="1" applyFill="1" applyBorder="1" applyAlignment="1" applyProtection="1">
      <alignment vertical="center"/>
      <protection locked="0"/>
    </xf>
    <xf numFmtId="0" fontId="4" fillId="3" borderId="92" xfId="0" applyFont="1" applyFill="1" applyBorder="1" applyAlignment="1" applyProtection="1">
      <alignment vertical="center" wrapText="1"/>
      <protection locked="0"/>
    </xf>
    <xf numFmtId="0" fontId="4" fillId="3" borderId="89" xfId="0" applyFont="1" applyFill="1" applyBorder="1" applyAlignment="1" applyProtection="1">
      <alignment wrapText="1"/>
      <protection locked="0"/>
    </xf>
    <xf numFmtId="0" fontId="16" fillId="13" borderId="87" xfId="17" applyBorder="1" applyAlignment="1" applyProtection="1">
      <alignment horizontal="center" vertical="center" wrapText="1"/>
      <protection hidden="1"/>
    </xf>
    <xf numFmtId="0" fontId="4" fillId="3" borderId="90" xfId="0" applyFont="1" applyFill="1" applyBorder="1" applyAlignment="1" applyProtection="1">
      <alignment horizontal="center" vertical="center" wrapText="1"/>
      <protection hidden="1"/>
    </xf>
    <xf numFmtId="0" fontId="4" fillId="3" borderId="89" xfId="0" applyFont="1" applyFill="1" applyBorder="1" applyAlignment="1" applyProtection="1">
      <alignment vertical="center" wrapText="1"/>
      <protection locked="0"/>
    </xf>
    <xf numFmtId="0" fontId="4" fillId="3" borderId="90" xfId="0" applyFont="1" applyFill="1" applyBorder="1" applyAlignment="1" applyProtection="1">
      <alignment vertical="center"/>
      <protection locked="0"/>
    </xf>
    <xf numFmtId="0" fontId="4" fillId="3" borderId="0" xfId="0" applyFont="1" applyFill="1" applyBorder="1" applyAlignment="1" applyProtection="1">
      <alignment wrapText="1"/>
      <protection locked="0"/>
    </xf>
    <xf numFmtId="0" fontId="4" fillId="3" borderId="0" xfId="0" applyFont="1" applyFill="1" applyBorder="1" applyProtection="1">
      <protection locked="0"/>
    </xf>
    <xf numFmtId="0" fontId="7" fillId="10" borderId="87" xfId="0" applyFont="1" applyFill="1" applyBorder="1" applyAlignment="1" applyProtection="1">
      <alignment horizontal="center" wrapText="1"/>
      <protection hidden="1"/>
    </xf>
    <xf numFmtId="0" fontId="4" fillId="10" borderId="87" xfId="0" applyFont="1" applyFill="1" applyBorder="1" applyAlignment="1" applyProtection="1">
      <alignment horizontal="center" vertical="center" wrapText="1"/>
      <protection hidden="1"/>
    </xf>
    <xf numFmtId="0" fontId="4" fillId="10" borderId="87" xfId="0" applyFont="1" applyFill="1" applyBorder="1" applyAlignment="1" applyProtection="1">
      <alignment vertical="center"/>
      <protection locked="0"/>
    </xf>
    <xf numFmtId="0" fontId="4" fillId="10" borderId="87" xfId="0" applyFont="1" applyFill="1" applyBorder="1" applyAlignment="1" applyProtection="1">
      <alignment vertical="center" wrapText="1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protection locked="0"/>
    </xf>
    <xf numFmtId="168" fontId="0" fillId="3" borderId="0" xfId="0" applyNumberFormat="1" applyFont="1" applyFill="1" applyBorder="1" applyAlignment="1" applyProtection="1">
      <protection locked="0"/>
    </xf>
    <xf numFmtId="0" fontId="0" fillId="3" borderId="0" xfId="0" applyFont="1" applyFill="1" applyBorder="1" applyAlignment="1" applyProtection="1">
      <alignment vertical="center"/>
      <protection locked="0"/>
    </xf>
    <xf numFmtId="0" fontId="0" fillId="3" borderId="0" xfId="0" applyFont="1" applyFill="1" applyBorder="1" applyAlignment="1" applyProtection="1">
      <protection locked="0"/>
    </xf>
    <xf numFmtId="0" fontId="0" fillId="3" borderId="0" xfId="0" applyFont="1" applyFill="1" applyBorder="1" applyAlignment="1" applyProtection="1">
      <alignment vertical="center" wrapText="1"/>
      <protection locked="0"/>
    </xf>
    <xf numFmtId="0" fontId="0" fillId="3" borderId="0" xfId="0" applyFont="1" applyFill="1" applyBorder="1" applyAlignment="1" applyProtection="1">
      <alignment wrapText="1"/>
      <protection locked="0"/>
    </xf>
    <xf numFmtId="0" fontId="4" fillId="3" borderId="0" xfId="0" applyFont="1" applyFill="1" applyBorder="1" applyAlignment="1" applyProtection="1">
      <alignment horizontal="right" textRotation="180" wrapText="1"/>
      <protection locked="0"/>
    </xf>
    <xf numFmtId="0" fontId="4" fillId="3" borderId="0" xfId="0" applyFont="1" applyFill="1" applyBorder="1" applyAlignment="1" applyProtection="1">
      <alignment textRotation="180" wrapText="1"/>
      <protection locked="0"/>
    </xf>
    <xf numFmtId="0" fontId="1" fillId="0" borderId="0" xfId="0" applyFont="1" applyBorder="1"/>
    <xf numFmtId="0" fontId="0" fillId="3" borderId="0" xfId="0" applyFill="1" applyBorder="1" applyAlignment="1" applyProtection="1">
      <alignment horizontal="center"/>
      <protection locked="0"/>
    </xf>
    <xf numFmtId="0" fontId="4" fillId="3" borderId="45" xfId="0" applyFont="1" applyFill="1" applyBorder="1" applyAlignment="1" applyProtection="1">
      <alignment textRotation="180" wrapText="1"/>
      <protection locked="0"/>
    </xf>
    <xf numFmtId="0" fontId="4" fillId="3" borderId="29" xfId="0" applyFont="1" applyFill="1" applyBorder="1" applyAlignment="1" applyProtection="1">
      <alignment textRotation="180" wrapText="1"/>
      <protection locked="0"/>
    </xf>
    <xf numFmtId="0" fontId="4" fillId="10" borderId="61" xfId="0" applyFont="1" applyFill="1" applyBorder="1" applyAlignment="1" applyProtection="1">
      <alignment wrapText="1"/>
      <protection locked="0"/>
    </xf>
    <xf numFmtId="0" fontId="4" fillId="10" borderId="93" xfId="0" applyFont="1" applyFill="1" applyBorder="1" applyAlignment="1" applyProtection="1">
      <alignment wrapText="1"/>
      <protection locked="0"/>
    </xf>
    <xf numFmtId="0" fontId="4" fillId="10" borderId="25" xfId="0" applyFont="1" applyFill="1" applyBorder="1" applyAlignment="1" applyProtection="1">
      <alignment wrapText="1"/>
      <protection locked="0"/>
    </xf>
    <xf numFmtId="0" fontId="7" fillId="3" borderId="96" xfId="0" applyFont="1" applyFill="1" applyBorder="1" applyAlignment="1" applyProtection="1">
      <alignment horizontal="center" vertical="center" wrapText="1"/>
      <protection hidden="1"/>
    </xf>
    <xf numFmtId="0" fontId="56" fillId="3" borderId="97" xfId="0" applyFont="1" applyFill="1" applyBorder="1"/>
    <xf numFmtId="0" fontId="56" fillId="3" borderId="97" xfId="0" applyNumberFormat="1" applyFont="1" applyFill="1" applyBorder="1"/>
    <xf numFmtId="14" fontId="56" fillId="3" borderId="97" xfId="0" applyNumberFormat="1" applyFont="1" applyFill="1" applyBorder="1" applyAlignment="1">
      <alignment horizontal="center"/>
    </xf>
    <xf numFmtId="0" fontId="10" fillId="3" borderId="97" xfId="0" applyNumberFormat="1" applyFont="1" applyFill="1" applyBorder="1"/>
    <xf numFmtId="0" fontId="6" fillId="4" borderId="98" xfId="0" applyFont="1" applyFill="1" applyBorder="1" applyAlignment="1">
      <alignment horizontal="center" vertical="center"/>
    </xf>
    <xf numFmtId="16" fontId="24" fillId="3" borderId="0" xfId="0" applyNumberFormat="1" applyFont="1" applyFill="1" applyBorder="1"/>
    <xf numFmtId="0" fontId="6" fillId="4" borderId="99" xfId="0" applyFont="1" applyFill="1" applyBorder="1" applyAlignment="1">
      <alignment horizontal="center" vertical="center"/>
    </xf>
    <xf numFmtId="1" fontId="6" fillId="11" borderId="99" xfId="0" applyNumberFormat="1" applyFont="1" applyFill="1" applyBorder="1" applyAlignment="1">
      <alignment horizontal="center" vertical="center"/>
    </xf>
    <xf numFmtId="0" fontId="6" fillId="11" borderId="99" xfId="0" applyFont="1" applyFill="1" applyBorder="1" applyAlignment="1">
      <alignment horizontal="center" vertical="center"/>
    </xf>
    <xf numFmtId="0" fontId="6" fillId="11" borderId="99" xfId="0" applyFont="1" applyFill="1" applyBorder="1" applyAlignment="1">
      <alignment horizontal="center" vertical="center" wrapText="1"/>
    </xf>
    <xf numFmtId="0" fontId="6" fillId="10" borderId="99" xfId="0" applyFont="1" applyFill="1" applyBorder="1" applyAlignment="1">
      <alignment horizontal="center" vertical="center"/>
    </xf>
    <xf numFmtId="0" fontId="6" fillId="9" borderId="99" xfId="0" applyFont="1" applyFill="1" applyBorder="1" applyAlignment="1">
      <alignment horizontal="center" vertical="center"/>
    </xf>
    <xf numFmtId="0" fontId="6" fillId="14" borderId="99" xfId="0" applyFont="1" applyFill="1" applyBorder="1" applyAlignment="1">
      <alignment horizontal="center" vertical="center"/>
    </xf>
    <xf numFmtId="0" fontId="6" fillId="5" borderId="99" xfId="0" applyFont="1" applyFill="1" applyBorder="1" applyAlignment="1">
      <alignment horizontal="center" vertical="center"/>
    </xf>
    <xf numFmtId="1" fontId="6" fillId="6" borderId="99" xfId="0" applyNumberFormat="1" applyFont="1" applyFill="1" applyBorder="1" applyAlignment="1">
      <alignment horizontal="center" vertical="center"/>
    </xf>
    <xf numFmtId="0" fontId="6" fillId="8" borderId="99" xfId="0" applyFont="1" applyFill="1" applyBorder="1" applyAlignment="1">
      <alignment horizontal="center" vertical="center"/>
    </xf>
    <xf numFmtId="0" fontId="6" fillId="15" borderId="99" xfId="0" applyFont="1" applyFill="1" applyBorder="1" applyAlignment="1">
      <alignment horizontal="center" vertical="center"/>
    </xf>
    <xf numFmtId="0" fontId="6" fillId="12" borderId="99" xfId="0" applyFont="1" applyFill="1" applyBorder="1" applyAlignment="1">
      <alignment horizontal="center" vertical="center"/>
    </xf>
    <xf numFmtId="0" fontId="6" fillId="3" borderId="99" xfId="0" applyFont="1" applyFill="1" applyBorder="1" applyAlignment="1">
      <alignment horizontal="center" vertical="center"/>
    </xf>
    <xf numFmtId="0" fontId="56" fillId="3" borderId="99" xfId="0" applyFont="1" applyFill="1" applyBorder="1"/>
    <xf numFmtId="0" fontId="56" fillId="3" borderId="99" xfId="0" applyNumberFormat="1" applyFont="1" applyFill="1" applyBorder="1"/>
    <xf numFmtId="14" fontId="56" fillId="3" borderId="99" xfId="0" applyNumberFormat="1" applyFont="1" applyFill="1" applyBorder="1" applyAlignment="1">
      <alignment horizontal="center"/>
    </xf>
    <xf numFmtId="0" fontId="22" fillId="3" borderId="99" xfId="0" applyFont="1" applyFill="1" applyBorder="1" applyAlignment="1">
      <alignment horizontal="center" vertical="center"/>
    </xf>
    <xf numFmtId="14" fontId="22" fillId="3" borderId="99" xfId="4" applyNumberFormat="1" applyFont="1" applyFill="1" applyBorder="1" applyAlignment="1" applyProtection="1">
      <alignment horizontal="center" vertical="center"/>
      <protection hidden="1"/>
    </xf>
    <xf numFmtId="0" fontId="6" fillId="4" borderId="100" xfId="0" applyFont="1" applyFill="1" applyBorder="1" applyAlignment="1">
      <alignment horizontal="center" vertical="center"/>
    </xf>
    <xf numFmtId="1" fontId="22" fillId="3" borderId="100" xfId="0" applyNumberFormat="1" applyFont="1" applyFill="1" applyBorder="1" applyAlignment="1">
      <alignment horizontal="center" vertical="center"/>
    </xf>
    <xf numFmtId="1" fontId="56" fillId="3" borderId="99" xfId="0" applyNumberFormat="1" applyFont="1" applyFill="1" applyBorder="1"/>
    <xf numFmtId="0" fontId="4" fillId="3" borderId="99" xfId="0" applyFont="1" applyFill="1" applyBorder="1" applyAlignment="1" applyProtection="1">
      <alignment vertical="center"/>
      <protection locked="0"/>
    </xf>
    <xf numFmtId="0" fontId="4" fillId="3" borderId="99" xfId="0" applyFont="1" applyFill="1" applyBorder="1" applyAlignment="1" applyProtection="1">
      <alignment horizontal="center" vertical="center" wrapText="1"/>
      <protection hidden="1"/>
    </xf>
    <xf numFmtId="1" fontId="22" fillId="3" borderId="99" xfId="0" applyNumberFormat="1" applyFont="1" applyFill="1" applyBorder="1" applyAlignment="1" applyProtection="1">
      <alignment horizontal="center" vertical="center"/>
      <protection hidden="1"/>
    </xf>
    <xf numFmtId="1" fontId="22" fillId="3" borderId="99" xfId="0" applyNumberFormat="1" applyFont="1" applyFill="1" applyBorder="1" applyAlignment="1">
      <alignment horizontal="center" vertical="center"/>
    </xf>
    <xf numFmtId="0" fontId="1" fillId="3" borderId="99" xfId="0" applyFont="1" applyFill="1" applyBorder="1" applyAlignment="1">
      <alignment horizontal="center"/>
    </xf>
    <xf numFmtId="1" fontId="17" fillId="46" borderId="99" xfId="0" applyNumberFormat="1" applyFont="1" applyFill="1" applyBorder="1" applyAlignment="1">
      <alignment horizontal="center"/>
    </xf>
    <xf numFmtId="14" fontId="22" fillId="3" borderId="92" xfId="4" applyNumberFormat="1" applyFont="1" applyFill="1" applyBorder="1" applyAlignment="1" applyProtection="1">
      <alignment horizontal="center" vertical="center"/>
      <protection hidden="1"/>
    </xf>
    <xf numFmtId="0" fontId="17" fillId="3" borderId="0" xfId="0" applyFont="1" applyFill="1" applyBorder="1" applyAlignment="1">
      <alignment horizontal="right"/>
    </xf>
    <xf numFmtId="14" fontId="22" fillId="3" borderId="93" xfId="4" applyNumberFormat="1" applyFont="1" applyFill="1" applyBorder="1" applyAlignment="1" applyProtection="1">
      <alignment horizontal="center" vertical="center"/>
      <protection hidden="1"/>
    </xf>
    <xf numFmtId="1" fontId="22" fillId="3" borderId="92" xfId="0" applyNumberFormat="1" applyFont="1" applyFill="1" applyBorder="1" applyAlignment="1" applyProtection="1">
      <alignment horizontal="center" vertical="center"/>
      <protection hidden="1"/>
    </xf>
    <xf numFmtId="0" fontId="17" fillId="46" borderId="99" xfId="0" applyFont="1" applyFill="1" applyBorder="1" applyAlignment="1">
      <alignment horizontal="center"/>
    </xf>
    <xf numFmtId="0" fontId="65" fillId="46" borderId="99" xfId="0" applyFont="1" applyFill="1" applyBorder="1" applyAlignment="1">
      <alignment horizontal="center"/>
    </xf>
    <xf numFmtId="1" fontId="15" fillId="3" borderId="99" xfId="0" applyNumberFormat="1" applyFont="1" applyFill="1" applyBorder="1" applyAlignment="1">
      <alignment horizontal="center" vertical="center"/>
    </xf>
    <xf numFmtId="14" fontId="15" fillId="3" borderId="99" xfId="4" applyNumberFormat="1" applyFont="1" applyFill="1" applyBorder="1" applyAlignment="1" applyProtection="1">
      <alignment horizontal="center" vertical="center"/>
      <protection hidden="1"/>
    </xf>
    <xf numFmtId="0" fontId="29" fillId="3" borderId="99" xfId="0" applyFont="1" applyFill="1" applyBorder="1" applyAlignment="1">
      <alignment horizontal="center" vertical="center"/>
    </xf>
    <xf numFmtId="1" fontId="15" fillId="3" borderId="99" xfId="0" applyNumberFormat="1" applyFont="1" applyFill="1" applyBorder="1" applyAlignment="1" applyProtection="1">
      <alignment horizontal="center" vertical="center"/>
      <protection hidden="1"/>
    </xf>
    <xf numFmtId="3" fontId="15" fillId="3" borderId="99" xfId="0" applyNumberFormat="1" applyFont="1" applyFill="1" applyBorder="1" applyAlignment="1" applyProtection="1">
      <alignment horizontal="center" vertical="center"/>
      <protection hidden="1"/>
    </xf>
    <xf numFmtId="0" fontId="29" fillId="3" borderId="99" xfId="25" applyFont="1" applyFill="1" applyBorder="1" applyAlignment="1">
      <alignment horizontal="center" vertical="center"/>
    </xf>
    <xf numFmtId="0" fontId="23" fillId="3" borderId="0" xfId="0" applyFont="1" applyFill="1" applyBorder="1" applyAlignment="1" applyProtection="1">
      <alignment horizontal="center"/>
      <protection locked="0"/>
    </xf>
    <xf numFmtId="14" fontId="0" fillId="3" borderId="0" xfId="0" applyNumberFormat="1" applyFill="1" applyAlignment="1" applyProtection="1">
      <alignment horizontal="left"/>
      <protection locked="0"/>
    </xf>
    <xf numFmtId="3" fontId="15" fillId="3" borderId="99" xfId="76" applyNumberFormat="1" applyFont="1" applyFill="1" applyBorder="1" applyAlignment="1" applyProtection="1">
      <alignment horizontal="center" vertical="center"/>
      <protection hidden="1"/>
    </xf>
    <xf numFmtId="0" fontId="27" fillId="3" borderId="99" xfId="0" applyFont="1" applyFill="1" applyBorder="1" applyAlignment="1">
      <alignment horizontal="center" vertical="center"/>
    </xf>
    <xf numFmtId="0" fontId="35" fillId="3" borderId="99" xfId="0" applyFont="1" applyFill="1" applyBorder="1" applyAlignment="1">
      <alignment horizontal="center" vertical="center"/>
    </xf>
    <xf numFmtId="0" fontId="67" fillId="3" borderId="99" xfId="0" applyFont="1" applyFill="1" applyBorder="1" applyAlignment="1">
      <alignment horizontal="center" vertical="center"/>
    </xf>
    <xf numFmtId="0" fontId="34" fillId="3" borderId="99" xfId="0" applyFont="1" applyFill="1" applyBorder="1" applyAlignment="1">
      <alignment horizontal="center" vertical="center"/>
    </xf>
    <xf numFmtId="0" fontId="27" fillId="3" borderId="99" xfId="25" applyFont="1" applyFill="1" applyBorder="1" applyAlignment="1">
      <alignment horizontal="center" vertical="center"/>
    </xf>
    <xf numFmtId="3" fontId="15" fillId="3" borderId="101" xfId="0" applyNumberFormat="1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Alignment="1">
      <alignment horizontal="center"/>
    </xf>
    <xf numFmtId="0" fontId="6" fillId="10" borderId="0" xfId="0" applyFont="1" applyFill="1" applyBorder="1" applyAlignment="1">
      <alignment horizontal="center" vertical="center" textRotation="180"/>
    </xf>
    <xf numFmtId="0" fontId="1" fillId="13" borderId="31" xfId="17" applyFont="1" applyAlignment="1">
      <alignment horizontal="center"/>
    </xf>
    <xf numFmtId="0" fontId="16" fillId="13" borderId="31" xfId="17" applyAlignment="1">
      <alignment horizontal="center"/>
    </xf>
    <xf numFmtId="0" fontId="16" fillId="13" borderId="33" xfId="17" applyBorder="1" applyAlignment="1">
      <alignment horizontal="center"/>
    </xf>
    <xf numFmtId="0" fontId="16" fillId="13" borderId="0" xfId="17" applyBorder="1" applyAlignment="1">
      <alignment horizontal="center"/>
    </xf>
    <xf numFmtId="0" fontId="16" fillId="13" borderId="34" xfId="17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14" fontId="11" fillId="3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66" fillId="3" borderId="34" xfId="0" applyFont="1" applyFill="1" applyBorder="1" applyAlignment="1" applyProtection="1">
      <alignment horizontal="center" textRotation="90"/>
      <protection locked="0"/>
    </xf>
    <xf numFmtId="0" fontId="64" fillId="3" borderId="0" xfId="0" applyFont="1" applyFill="1" applyBorder="1" applyAlignment="1" applyProtection="1">
      <alignment horizontal="center" vertical="center"/>
      <protection locked="0"/>
    </xf>
    <xf numFmtId="0" fontId="1" fillId="45" borderId="0" xfId="0" applyFont="1" applyFill="1" applyBorder="1" applyAlignment="1" applyProtection="1">
      <alignment horizontal="left"/>
      <protection locked="0"/>
    </xf>
    <xf numFmtId="1" fontId="63" fillId="45" borderId="0" xfId="0" applyNumberFormat="1" applyFont="1" applyFill="1" applyBorder="1" applyAlignment="1" applyProtection="1">
      <alignment horizontal="center" vertical="center"/>
      <protection hidden="1"/>
    </xf>
    <xf numFmtId="167" fontId="24" fillId="45" borderId="0" xfId="0" applyNumberFormat="1" applyFont="1" applyFill="1" applyBorder="1" applyAlignment="1" applyProtection="1">
      <alignment horizontal="center" vertical="center" textRotation="180"/>
      <protection locked="0"/>
    </xf>
    <xf numFmtId="0" fontId="4" fillId="3" borderId="12" xfId="0" applyFont="1" applyFill="1" applyBorder="1" applyAlignment="1" applyProtection="1">
      <alignment vertical="center"/>
      <protection locked="0"/>
    </xf>
    <xf numFmtId="0" fontId="4" fillId="3" borderId="87" xfId="0" applyFont="1" applyFill="1" applyBorder="1" applyAlignment="1" applyProtection="1">
      <alignment vertical="center"/>
      <protection locked="0"/>
    </xf>
    <xf numFmtId="0" fontId="4" fillId="3" borderId="58" xfId="0" applyFont="1" applyFill="1" applyBorder="1" applyAlignment="1" applyProtection="1">
      <alignment vertical="center"/>
      <protection locked="0"/>
    </xf>
    <xf numFmtId="0" fontId="4" fillId="3" borderId="3" xfId="0" applyFont="1" applyFill="1" applyBorder="1" applyAlignment="1" applyProtection="1">
      <alignment vertical="center"/>
      <protection locked="0"/>
    </xf>
    <xf numFmtId="0" fontId="12" fillId="3" borderId="18" xfId="0" applyFont="1" applyFill="1" applyBorder="1" applyAlignment="1" applyProtection="1">
      <alignment horizontal="center" wrapText="1"/>
      <protection locked="0"/>
    </xf>
    <xf numFmtId="0" fontId="12" fillId="3" borderId="19" xfId="0" applyFont="1" applyFill="1" applyBorder="1" applyAlignment="1" applyProtection="1">
      <alignment horizontal="center" wrapText="1"/>
      <protection locked="0"/>
    </xf>
    <xf numFmtId="0" fontId="12" fillId="3" borderId="18" xfId="0" applyFont="1" applyFill="1" applyBorder="1" applyAlignment="1" applyProtection="1">
      <alignment horizontal="center"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0" fontId="4" fillId="3" borderId="93" xfId="0" applyFont="1" applyFill="1" applyBorder="1" applyAlignment="1" applyProtection="1">
      <alignment vertical="center"/>
      <protection locked="0"/>
    </xf>
    <xf numFmtId="0" fontId="4" fillId="3" borderId="33" xfId="0" applyFont="1" applyFill="1" applyBorder="1" applyAlignment="1" applyProtection="1">
      <alignment vertical="center"/>
      <protection locked="0"/>
    </xf>
    <xf numFmtId="0" fontId="4" fillId="3" borderId="64" xfId="0" applyFont="1" applyFill="1" applyBorder="1" applyAlignment="1" applyProtection="1">
      <alignment vertical="center"/>
      <protection locked="0"/>
    </xf>
    <xf numFmtId="0" fontId="4" fillId="3" borderId="9" xfId="0" applyFont="1" applyFill="1" applyBorder="1" applyAlignment="1" applyProtection="1">
      <alignment vertical="center"/>
      <protection locked="0"/>
    </xf>
    <xf numFmtId="0" fontId="4" fillId="3" borderId="10" xfId="0" applyFont="1" applyFill="1" applyBorder="1" applyAlignment="1" applyProtection="1">
      <alignment vertical="center"/>
      <protection locked="0"/>
    </xf>
    <xf numFmtId="0" fontId="4" fillId="3" borderId="56" xfId="0" applyFont="1" applyFill="1" applyBorder="1" applyAlignment="1" applyProtection="1">
      <alignment horizontal="left" vertical="center"/>
      <protection locked="0"/>
    </xf>
    <xf numFmtId="0" fontId="4" fillId="3" borderId="26" xfId="0" applyFont="1" applyFill="1" applyBorder="1" applyAlignment="1" applyProtection="1">
      <alignment horizontal="left" vertical="center"/>
      <protection locked="0"/>
    </xf>
    <xf numFmtId="0" fontId="17" fillId="3" borderId="45" xfId="0" applyFont="1" applyFill="1" applyBorder="1" applyAlignment="1" applyProtection="1">
      <alignment horizontal="center" vertical="center" textRotation="180" wrapText="1"/>
      <protection locked="0"/>
    </xf>
    <xf numFmtId="0" fontId="17" fillId="3" borderId="29" xfId="0" applyFont="1" applyFill="1" applyBorder="1" applyAlignment="1" applyProtection="1">
      <alignment horizontal="center" vertical="center" textRotation="180" wrapText="1"/>
      <protection locked="0"/>
    </xf>
    <xf numFmtId="0" fontId="13" fillId="3" borderId="18" xfId="0" applyFont="1" applyFill="1" applyBorder="1" applyAlignment="1" applyProtection="1">
      <alignment horizontal="center" vertical="center" wrapText="1"/>
      <protection locked="0"/>
    </xf>
    <xf numFmtId="0" fontId="13" fillId="3" borderId="95" xfId="0" applyFont="1" applyFill="1" applyBorder="1" applyAlignment="1" applyProtection="1">
      <alignment horizontal="center" vertical="center" wrapText="1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12" fillId="3" borderId="14" xfId="0" applyFont="1" applyFill="1" applyBorder="1" applyAlignment="1" applyProtection="1">
      <alignment horizontal="center" vertical="center"/>
      <protection locked="0"/>
    </xf>
    <xf numFmtId="0" fontId="12" fillId="3" borderId="16" xfId="0" applyFont="1" applyFill="1" applyBorder="1" applyAlignment="1" applyProtection="1">
      <alignment horizontal="center" vertical="center"/>
      <protection locked="0"/>
    </xf>
    <xf numFmtId="0" fontId="17" fillId="3" borderId="30" xfId="0" applyFont="1" applyFill="1" applyBorder="1" applyAlignment="1" applyProtection="1">
      <alignment horizontal="center" vertical="center" textRotation="180" wrapText="1"/>
      <protection locked="0"/>
    </xf>
    <xf numFmtId="1" fontId="17" fillId="3" borderId="5" xfId="0" applyNumberFormat="1" applyFont="1" applyFill="1" applyBorder="1" applyAlignment="1" applyProtection="1">
      <alignment horizontal="left" vertical="center"/>
      <protection hidden="1"/>
    </xf>
    <xf numFmtId="1" fontId="17" fillId="3" borderId="6" xfId="0" applyNumberFormat="1" applyFont="1" applyFill="1" applyBorder="1" applyAlignment="1" applyProtection="1">
      <alignment horizontal="left" vertical="center"/>
      <protection hidden="1"/>
    </xf>
    <xf numFmtId="1" fontId="17" fillId="3" borderId="7" xfId="0" applyNumberFormat="1" applyFont="1" applyFill="1" applyBorder="1" applyAlignment="1" applyProtection="1">
      <alignment horizontal="left" vertical="center"/>
      <protection hidden="1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2" fillId="3" borderId="21" xfId="0" applyFont="1" applyFill="1" applyBorder="1" applyAlignment="1" applyProtection="1">
      <alignment horizontal="center" vertical="center"/>
      <protection locked="0"/>
    </xf>
    <xf numFmtId="1" fontId="17" fillId="3" borderId="5" xfId="0" applyNumberFormat="1" applyFont="1" applyFill="1" applyBorder="1" applyAlignment="1" applyProtection="1">
      <alignment horizontal="center" vertical="center"/>
      <protection hidden="1"/>
    </xf>
    <xf numFmtId="1" fontId="17" fillId="3" borderId="6" xfId="0" applyNumberFormat="1" applyFont="1" applyFill="1" applyBorder="1" applyAlignment="1" applyProtection="1">
      <alignment horizontal="center" vertical="center"/>
      <protection hidden="1"/>
    </xf>
    <xf numFmtId="1" fontId="17" fillId="3" borderId="7" xfId="0" applyNumberFormat="1" applyFont="1" applyFill="1" applyBorder="1" applyAlignment="1" applyProtection="1">
      <alignment horizontal="center" vertical="center"/>
      <protection hidden="1"/>
    </xf>
    <xf numFmtId="0" fontId="4" fillId="3" borderId="32" xfId="0" applyFont="1" applyFill="1" applyBorder="1" applyAlignment="1" applyProtection="1">
      <alignment vertical="center"/>
      <protection locked="0"/>
    </xf>
    <xf numFmtId="0" fontId="4" fillId="3" borderId="90" xfId="0" applyFont="1" applyFill="1" applyBorder="1" applyAlignment="1" applyProtection="1">
      <alignment vertical="center"/>
      <protection locked="0"/>
    </xf>
    <xf numFmtId="0" fontId="4" fillId="3" borderId="32" xfId="0" applyFont="1" applyFill="1" applyBorder="1" applyAlignment="1" applyProtection="1">
      <alignment horizontal="left" vertical="center"/>
      <protection locked="0"/>
    </xf>
    <xf numFmtId="0" fontId="4" fillId="3" borderId="90" xfId="0" applyFont="1" applyFill="1" applyBorder="1" applyAlignment="1" applyProtection="1">
      <alignment horizontal="left" vertical="center"/>
      <protection locked="0"/>
    </xf>
    <xf numFmtId="0" fontId="4" fillId="3" borderId="12" xfId="0" applyFont="1" applyFill="1" applyBorder="1" applyAlignment="1" applyProtection="1">
      <alignment horizontal="left" vertical="center"/>
      <protection locked="0"/>
    </xf>
    <xf numFmtId="0" fontId="4" fillId="3" borderId="87" xfId="0" applyFont="1" applyFill="1" applyBorder="1" applyAlignment="1" applyProtection="1">
      <alignment horizontal="left" vertical="center"/>
      <protection locked="0"/>
    </xf>
    <xf numFmtId="0" fontId="17" fillId="3" borderId="18" xfId="0" applyFont="1" applyFill="1" applyBorder="1" applyAlignment="1" applyProtection="1">
      <alignment horizontal="center" vertical="center" textRotation="180" wrapText="1"/>
      <protection locked="0"/>
    </xf>
    <xf numFmtId="0" fontId="17" fillId="3" borderId="49" xfId="0" applyFont="1" applyFill="1" applyBorder="1" applyAlignment="1" applyProtection="1">
      <alignment horizontal="center" vertical="center" textRotation="180" wrapText="1"/>
      <protection locked="0"/>
    </xf>
    <xf numFmtId="0" fontId="17" fillId="3" borderId="95" xfId="0" applyFont="1" applyFill="1" applyBorder="1" applyAlignment="1" applyProtection="1">
      <alignment horizontal="center" vertical="center" textRotation="180" wrapText="1"/>
      <protection locked="0"/>
    </xf>
    <xf numFmtId="0" fontId="4" fillId="3" borderId="94" xfId="0" applyFont="1" applyFill="1" applyBorder="1" applyAlignment="1" applyProtection="1">
      <alignment vertical="center"/>
      <protection locked="0"/>
    </xf>
    <xf numFmtId="0" fontId="4" fillId="3" borderId="92" xfId="0" applyFont="1" applyFill="1" applyBorder="1" applyAlignment="1" applyProtection="1">
      <alignment vertical="center"/>
      <protection locked="0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4" fillId="10" borderId="25" xfId="0" applyFont="1" applyFill="1" applyBorder="1" applyAlignment="1" applyProtection="1">
      <alignment vertical="center"/>
      <protection locked="0"/>
    </xf>
    <xf numFmtId="0" fontId="4" fillId="10" borderId="26" xfId="0" applyFont="1" applyFill="1" applyBorder="1" applyAlignment="1" applyProtection="1">
      <alignment vertical="center"/>
      <protection locked="0"/>
    </xf>
    <xf numFmtId="0" fontId="4" fillId="10" borderId="93" xfId="0" applyFont="1" applyFill="1" applyBorder="1" applyAlignment="1" applyProtection="1">
      <alignment vertical="center"/>
      <protection locked="0"/>
    </xf>
    <xf numFmtId="0" fontId="4" fillId="10" borderId="90" xfId="0" applyFont="1" applyFill="1" applyBorder="1" applyAlignment="1" applyProtection="1">
      <alignment vertical="center"/>
      <protection locked="0"/>
    </xf>
    <xf numFmtId="0" fontId="4" fillId="3" borderId="14" xfId="0" applyFont="1" applyFill="1" applyBorder="1" applyAlignment="1" applyProtection="1">
      <alignment vertical="center"/>
      <protection locked="0"/>
    </xf>
    <xf numFmtId="0" fontId="4" fillId="3" borderId="15" xfId="0" applyFont="1" applyFill="1" applyBorder="1" applyAlignment="1" applyProtection="1">
      <alignment vertical="center"/>
      <protection locked="0"/>
    </xf>
    <xf numFmtId="0" fontId="17" fillId="10" borderId="57" xfId="0" applyFont="1" applyFill="1" applyBorder="1" applyAlignment="1" applyProtection="1">
      <alignment horizontal="center" vertical="center" textRotation="180" wrapText="1"/>
      <protection locked="0"/>
    </xf>
    <xf numFmtId="0" fontId="17" fillId="10" borderId="90" xfId="0" applyFont="1" applyFill="1" applyBorder="1" applyAlignment="1" applyProtection="1">
      <alignment horizontal="center" vertical="center" textRotation="180" wrapText="1"/>
      <protection locked="0"/>
    </xf>
    <xf numFmtId="0" fontId="17" fillId="10" borderId="26" xfId="0" applyFont="1" applyFill="1" applyBorder="1" applyAlignment="1" applyProtection="1">
      <alignment horizontal="center" vertical="center" textRotation="180" wrapText="1"/>
      <protection locked="0"/>
    </xf>
    <xf numFmtId="0" fontId="4" fillId="10" borderId="61" xfId="0" applyFont="1" applyFill="1" applyBorder="1" applyAlignment="1" applyProtection="1">
      <alignment vertical="center"/>
      <protection locked="0"/>
    </xf>
    <xf numFmtId="0" fontId="4" fillId="10" borderId="57" xfId="0" applyFont="1" applyFill="1" applyBorder="1" applyAlignment="1" applyProtection="1">
      <alignment vertical="center"/>
      <protection locked="0"/>
    </xf>
    <xf numFmtId="0" fontId="8" fillId="0" borderId="0" xfId="0" applyFont="1" applyBorder="1" applyAlignment="1">
      <alignment horizontal="center" vertical="center" wrapText="1"/>
    </xf>
    <xf numFmtId="0" fontId="7" fillId="3" borderId="0" xfId="0" applyFont="1" applyFill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 applyProtection="1">
      <alignment horizontal="left" vertical="center"/>
      <protection locked="0"/>
    </xf>
    <xf numFmtId="0" fontId="8" fillId="3" borderId="7" xfId="0" applyFont="1" applyFill="1" applyBorder="1" applyAlignment="1" applyProtection="1">
      <alignment horizontal="left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1" fontId="8" fillId="3" borderId="5" xfId="0" applyNumberFormat="1" applyFont="1" applyFill="1" applyBorder="1" applyAlignment="1" applyProtection="1">
      <alignment horizontal="left" vertical="center"/>
      <protection hidden="1"/>
    </xf>
    <xf numFmtId="1" fontId="8" fillId="3" borderId="6" xfId="0" applyNumberFormat="1" applyFont="1" applyFill="1" applyBorder="1" applyAlignment="1" applyProtection="1">
      <alignment horizontal="left" vertical="center"/>
      <protection hidden="1"/>
    </xf>
    <xf numFmtId="1" fontId="8" fillId="3" borderId="7" xfId="0" applyNumberFormat="1" applyFont="1" applyFill="1" applyBorder="1" applyAlignment="1" applyProtection="1">
      <alignment horizontal="left" vertical="center"/>
      <protection hidden="1"/>
    </xf>
    <xf numFmtId="0" fontId="20" fillId="3" borderId="55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Border="1" applyAlignment="1" applyProtection="1">
      <alignment horizontal="center" vertical="center"/>
      <protection locked="0"/>
    </xf>
    <xf numFmtId="1" fontId="20" fillId="3" borderId="6" xfId="0" applyNumberFormat="1" applyFont="1" applyFill="1" applyBorder="1" applyAlignment="1" applyProtection="1">
      <alignment horizontal="center" vertical="center"/>
      <protection hidden="1"/>
    </xf>
    <xf numFmtId="1" fontId="20" fillId="3" borderId="7" xfId="0" applyNumberFormat="1" applyFont="1" applyFill="1" applyBorder="1" applyAlignment="1" applyProtection="1">
      <alignment horizontal="center" vertical="center"/>
      <protection hidden="1"/>
    </xf>
    <xf numFmtId="0" fontId="65" fillId="46" borderId="93" xfId="0" applyFont="1" applyFill="1" applyBorder="1" applyAlignment="1">
      <alignment horizontal="center"/>
    </xf>
    <xf numFmtId="0" fontId="65" fillId="46" borderId="100" xfId="0" applyFont="1" applyFill="1" applyBorder="1" applyAlignment="1">
      <alignment horizontal="center"/>
    </xf>
    <xf numFmtId="0" fontId="65" fillId="46" borderId="101" xfId="0" applyFont="1" applyFill="1" applyBorder="1" applyAlignment="1">
      <alignment horizontal="center"/>
    </xf>
    <xf numFmtId="0" fontId="57" fillId="43" borderId="45" xfId="0" applyFont="1" applyFill="1" applyBorder="1" applyAlignment="1">
      <alignment horizontal="center" vertical="center" wrapText="1"/>
    </xf>
    <xf numFmtId="0" fontId="57" fillId="43" borderId="85" xfId="0" applyFont="1" applyFill="1" applyBorder="1" applyAlignment="1">
      <alignment horizontal="center" vertical="center" wrapText="1"/>
    </xf>
    <xf numFmtId="0" fontId="57" fillId="43" borderId="45" xfId="0" applyFont="1" applyFill="1" applyBorder="1" applyAlignment="1">
      <alignment horizontal="center" vertical="center"/>
    </xf>
    <xf numFmtId="0" fontId="57" fillId="43" borderId="85" xfId="0" applyFont="1" applyFill="1" applyBorder="1" applyAlignment="1">
      <alignment horizontal="center" vertical="center"/>
    </xf>
    <xf numFmtId="0" fontId="57" fillId="43" borderId="50" xfId="0" applyFont="1" applyFill="1" applyBorder="1" applyAlignment="1">
      <alignment horizontal="center" vertical="center"/>
    </xf>
    <xf numFmtId="0" fontId="57" fillId="43" borderId="48" xfId="0" applyFont="1" applyFill="1" applyBorder="1" applyAlignment="1">
      <alignment horizontal="center" vertical="center"/>
    </xf>
    <xf numFmtId="0" fontId="58" fillId="43" borderId="45" xfId="0" applyFont="1" applyFill="1" applyBorder="1" applyAlignment="1">
      <alignment horizontal="center" vertical="center" wrapText="1"/>
    </xf>
    <xf numFmtId="0" fontId="58" fillId="43" borderId="85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66" xfId="0" applyFill="1" applyBorder="1" applyAlignment="1">
      <alignment horizontal="center"/>
    </xf>
    <xf numFmtId="0" fontId="17" fillId="3" borderId="50" xfId="0" applyFont="1" applyFill="1" applyBorder="1" applyAlignment="1">
      <alignment horizontal="center"/>
    </xf>
    <xf numFmtId="0" fontId="17" fillId="3" borderId="52" xfId="0" applyFont="1" applyFill="1" applyBorder="1" applyAlignment="1">
      <alignment horizontal="center"/>
    </xf>
    <xf numFmtId="0" fontId="17" fillId="3" borderId="48" xfId="0" applyFont="1" applyFill="1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3" borderId="69" xfId="0" applyFont="1" applyFill="1" applyBorder="1" applyAlignment="1">
      <alignment horizontal="center"/>
    </xf>
    <xf numFmtId="0" fontId="22" fillId="13" borderId="46" xfId="17" applyFont="1" applyBorder="1" applyAlignment="1">
      <alignment horizontal="center"/>
    </xf>
    <xf numFmtId="0" fontId="22" fillId="13" borderId="47" xfId="17" applyFont="1" applyBorder="1" applyAlignment="1">
      <alignment horizontal="center"/>
    </xf>
    <xf numFmtId="0" fontId="30" fillId="3" borderId="2" xfId="0" applyFont="1" applyFill="1" applyBorder="1" applyAlignment="1">
      <alignment horizontal="center"/>
    </xf>
  </cellXfs>
  <cellStyles count="81">
    <cellStyle name="20% - Ênfase1 2" xfId="27"/>
    <cellStyle name="20% - Ênfase2 2" xfId="28"/>
    <cellStyle name="20% - Ênfase3 2" xfId="29"/>
    <cellStyle name="20% - Ênfase4 2" xfId="30"/>
    <cellStyle name="20% - Ênfase5 2" xfId="31"/>
    <cellStyle name="20% - Ênfase6 2" xfId="32"/>
    <cellStyle name="40% - Ênfase1 2" xfId="33"/>
    <cellStyle name="40% - Ênfase2 2" xfId="34"/>
    <cellStyle name="40% - Ênfase3 2" xfId="35"/>
    <cellStyle name="40% - Ênfase4 2" xfId="36"/>
    <cellStyle name="40% - Ênfase5 2" xfId="37"/>
    <cellStyle name="40% - Ênfase6 2" xfId="38"/>
    <cellStyle name="60% - Ênfase1 2" xfId="39"/>
    <cellStyle name="60% - Ênfase2 2" xfId="40"/>
    <cellStyle name="60% - Ênfase3 2" xfId="41"/>
    <cellStyle name="60% - Ênfase4 2" xfId="42"/>
    <cellStyle name="60% - Ênfase5 2" xfId="43"/>
    <cellStyle name="60% - Ênfase6 2" xfId="44"/>
    <cellStyle name="Bom 2" xfId="45"/>
    <cellStyle name="Cálculo 2" xfId="46"/>
    <cellStyle name="Cálculo 3" xfId="80"/>
    <cellStyle name="Célula de Verificação" xfId="17" builtinId="23"/>
    <cellStyle name="Célula de Verificação 2" xfId="47"/>
    <cellStyle name="Célula Vinculada 2" xfId="48"/>
    <cellStyle name="Ênfase1 2" xfId="49"/>
    <cellStyle name="Ênfase2 2" xfId="50"/>
    <cellStyle name="Ênfase3 2" xfId="51"/>
    <cellStyle name="Ênfase4 2" xfId="52"/>
    <cellStyle name="Ênfase5 2" xfId="53"/>
    <cellStyle name="Ênfase6 2" xfId="54"/>
    <cellStyle name="Entrada 2" xfId="55"/>
    <cellStyle name="Entrada 3" xfId="79"/>
    <cellStyle name="Euro" xfId="1"/>
    <cellStyle name="Euro 2" xfId="56"/>
    <cellStyle name="Incorreto 2" xfId="57"/>
    <cellStyle name="Moeda 2" xfId="2"/>
    <cellStyle name="Moeda 3" xfId="3"/>
    <cellStyle name="Neutra 2" xfId="58"/>
    <cellStyle name="Normal" xfId="0" builtinId="0"/>
    <cellStyle name="Normal 10" xfId="21"/>
    <cellStyle name="Normal 11" xfId="22"/>
    <cellStyle name="Normal 12" xfId="23"/>
    <cellStyle name="Normal 13" xfId="26"/>
    <cellStyle name="Normal 2" xfId="4"/>
    <cellStyle name="Normal 2 2" xfId="16"/>
    <cellStyle name="Normal 2 2 2" xfId="76"/>
    <cellStyle name="Normal 3" xfId="5"/>
    <cellStyle name="Normal 3 2" xfId="25"/>
    <cellStyle name="Normal 4" xfId="6"/>
    <cellStyle name="Normal 4 2" xfId="74"/>
    <cellStyle name="Normal 4 3" xfId="59"/>
    <cellStyle name="Normal 43" xfId="60"/>
    <cellStyle name="Normal 5" xfId="61"/>
    <cellStyle name="Normal 6" xfId="15"/>
    <cellStyle name="Normal 6 2" xfId="24"/>
    <cellStyle name="Normal 7" xfId="18"/>
    <cellStyle name="Normal 8" xfId="19"/>
    <cellStyle name="Normal 9" xfId="20"/>
    <cellStyle name="Nota 2" xfId="7"/>
    <cellStyle name="Nota 3" xfId="8"/>
    <cellStyle name="Nota 4" xfId="62"/>
    <cellStyle name="Nota 5" xfId="75"/>
    <cellStyle name="Porcentagem 2" xfId="9"/>
    <cellStyle name="Porcentagem 2 2" xfId="10"/>
    <cellStyle name="Porcentagem 2 3" xfId="63"/>
    <cellStyle name="Porcentagem 3" xfId="11"/>
    <cellStyle name="Porcentagem 4" xfId="12"/>
    <cellStyle name="Saída 2" xfId="64"/>
    <cellStyle name="Saída 3" xfId="78"/>
    <cellStyle name="Separador de milhares 2" xfId="13"/>
    <cellStyle name="Separador de milhares 2 2" xfId="14"/>
    <cellStyle name="Separador de milhares 2 3" xfId="65"/>
    <cellStyle name="Texto de Aviso 2" xfId="66"/>
    <cellStyle name="Texto Explicativo 2" xfId="67"/>
    <cellStyle name="Título 1 2" xfId="69"/>
    <cellStyle name="Título 2 2" xfId="70"/>
    <cellStyle name="Título 3 2" xfId="71"/>
    <cellStyle name="Título 4 2" xfId="72"/>
    <cellStyle name="Título 5" xfId="68"/>
    <cellStyle name="Total 2" xfId="73"/>
    <cellStyle name="Total 3" xfId="77"/>
  </cellStyles>
  <dxfs count="14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223352</xdr:colOff>
      <xdr:row>0</xdr:row>
      <xdr:rowOff>129648</xdr:rowOff>
    </xdr:from>
    <xdr:to>
      <xdr:col>3</xdr:col>
      <xdr:colOff>863268</xdr:colOff>
      <xdr:row>1</xdr:row>
      <xdr:rowOff>568627</xdr:rowOff>
    </xdr:to>
    <xdr:pic>
      <xdr:nvPicPr>
        <xdr:cNvPr id="3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3352" y="129648"/>
          <a:ext cx="2671268" cy="6333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dos%20Inventory\2%20-%20Distribui&#231;&#227;o%20de%20Equipamentos\2023\CALEND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las e Tipos"/>
      <sheetName val="Alterações"/>
      <sheetName val="Setembro"/>
      <sheetName val="Agosto"/>
      <sheetName val="Planilha1"/>
      <sheetName val="#REF"/>
      <sheetName val="Julho"/>
      <sheetName val="Maio"/>
      <sheetName val="Junho"/>
      <sheetName val="Março"/>
      <sheetName val="Fevereiro"/>
      <sheetName val="Abril"/>
      <sheetName val="Janeiro"/>
      <sheetName val="Dezembro"/>
    </sheetNames>
    <sheetDataSet>
      <sheetData sheetId="0"/>
      <sheetData sheetId="1"/>
      <sheetData sheetId="2">
        <row r="1">
          <cell r="A1">
            <v>0</v>
          </cell>
        </row>
      </sheetData>
      <sheetData sheetId="3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 t="str">
            <v>TOTAL</v>
          </cell>
          <cell r="J1">
            <v>8231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</row>
        <row r="3">
          <cell r="A3" t="str">
            <v>#</v>
          </cell>
          <cell r="B3" t="str">
            <v>SIGLA</v>
          </cell>
          <cell r="C3" t="str">
            <v>LOJA</v>
          </cell>
          <cell r="D3" t="str">
            <v>DATA</v>
          </cell>
          <cell r="E3" t="str">
            <v>ENDEREÇO</v>
          </cell>
          <cell r="F3" t="str">
            <v>BAIRRO</v>
          </cell>
          <cell r="G3" t="str">
            <v>CIDADE</v>
          </cell>
          <cell r="H3" t="str">
            <v>REGIONAL</v>
          </cell>
          <cell r="I3" t="str">
            <v>TIPO</v>
          </cell>
          <cell r="J3" t="str">
            <v>PESSOAS</v>
          </cell>
          <cell r="K3" t="str">
            <v>OBSERVAÇÃO</v>
          </cell>
          <cell r="L3" t="str">
            <v>LÍDER</v>
          </cell>
          <cell r="M3" t="str">
            <v>PONTO DE ENCONTRO</v>
          </cell>
          <cell r="N3" t="str">
            <v>HORÁRIO DO PONTO DE ENCONTRO</v>
          </cell>
        </row>
        <row r="4">
          <cell r="A4" t="str">
            <v/>
          </cell>
          <cell r="B4">
            <v>0</v>
          </cell>
          <cell r="C4">
            <v>0</v>
          </cell>
          <cell r="D4">
            <v>0</v>
          </cell>
          <cell r="E4">
            <v>45139</v>
          </cell>
          <cell r="F4" t="str">
            <v>TERÇA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PEN975</v>
          </cell>
          <cell r="B5" t="str">
            <v>PEN</v>
          </cell>
          <cell r="C5">
            <v>975</v>
          </cell>
          <cell r="D5">
            <v>45139</v>
          </cell>
          <cell r="E5" t="str">
            <v>AV : PRESIDENTE VARGAS , 1735</v>
          </cell>
          <cell r="F5" t="str">
            <v>BELA VISTA</v>
          </cell>
          <cell r="G5" t="str">
            <v>ALVORADA</v>
          </cell>
          <cell r="H5" t="str">
            <v>PORTO ALEGRE</v>
          </cell>
          <cell r="I5" t="str">
            <v>T</v>
          </cell>
          <cell r="J5">
            <v>8</v>
          </cell>
          <cell r="K5">
            <v>0</v>
          </cell>
          <cell r="L5" t="str">
            <v>PAVAN</v>
          </cell>
          <cell r="M5" t="str">
            <v>NÃO</v>
          </cell>
          <cell r="N5" t="str">
            <v>NÃO</v>
          </cell>
        </row>
        <row r="6">
          <cell r="A6" t="str">
            <v>ELO172</v>
          </cell>
          <cell r="B6" t="str">
            <v>ELO</v>
          </cell>
          <cell r="C6">
            <v>172</v>
          </cell>
          <cell r="D6">
            <v>45139</v>
          </cell>
          <cell r="E6" t="str">
            <v>RUA CRUZEIRO DO SUL , 430</v>
          </cell>
          <cell r="F6" t="str">
            <v>SÍTIO CERCADO</v>
          </cell>
          <cell r="G6" t="str">
            <v>CURITIBA</v>
          </cell>
          <cell r="H6" t="str">
            <v>PR CURITIBA</v>
          </cell>
          <cell r="I6" t="str">
            <v>P</v>
          </cell>
          <cell r="J6">
            <v>15</v>
          </cell>
          <cell r="K6">
            <v>0</v>
          </cell>
          <cell r="L6" t="str">
            <v>THIAGO</v>
          </cell>
          <cell r="M6" t="str">
            <v>NÃO</v>
          </cell>
          <cell r="N6" t="str">
            <v>NÃO</v>
          </cell>
        </row>
        <row r="7">
          <cell r="A7" t="str">
            <v>TDI1328</v>
          </cell>
          <cell r="B7" t="str">
            <v>TDI</v>
          </cell>
          <cell r="C7">
            <v>1328</v>
          </cell>
          <cell r="D7">
            <v>45139</v>
          </cell>
          <cell r="E7" t="str">
            <v>RUA DR. JAVERT MADUREIRA , 1574</v>
          </cell>
          <cell r="F7" t="str">
            <v>VILA RIO BRANCO</v>
          </cell>
          <cell r="G7" t="str">
            <v>CASTRO</v>
          </cell>
          <cell r="H7" t="str">
            <v>PR CURITIBA</v>
          </cell>
          <cell r="I7" t="str">
            <v>T</v>
          </cell>
          <cell r="J7">
            <v>11</v>
          </cell>
          <cell r="K7">
            <v>0</v>
          </cell>
          <cell r="L7" t="str">
            <v>HENRIQUE</v>
          </cell>
          <cell r="M7" t="str">
            <v>01 VAN</v>
          </cell>
          <cell r="N7">
            <v>0.625</v>
          </cell>
        </row>
        <row r="8">
          <cell r="A8" t="str">
            <v>VVE33</v>
          </cell>
          <cell r="B8" t="str">
            <v>VVE</v>
          </cell>
          <cell r="C8">
            <v>33</v>
          </cell>
          <cell r="D8">
            <v>45139</v>
          </cell>
          <cell r="E8" t="str">
            <v>ROD. MABIO GONÇALVES PALHANO , 200</v>
          </cell>
          <cell r="F8" t="str">
            <v>GLEBA FAZENDA PALHANO</v>
          </cell>
          <cell r="G8" t="str">
            <v>LONDRINA</v>
          </cell>
          <cell r="H8" t="str">
            <v>PR LONDRINA</v>
          </cell>
          <cell r="I8" t="str">
            <v>T</v>
          </cell>
          <cell r="J8">
            <v>4</v>
          </cell>
          <cell r="K8" t="str">
            <v>DIURNO</v>
          </cell>
          <cell r="L8" t="str">
            <v>MARIANA</v>
          </cell>
          <cell r="M8" t="str">
            <v>NÃO</v>
          </cell>
          <cell r="N8" t="str">
            <v>NÃO</v>
          </cell>
        </row>
        <row r="9">
          <cell r="A9" t="str">
            <v>DSP2182</v>
          </cell>
          <cell r="B9" t="str">
            <v>DSP</v>
          </cell>
          <cell r="C9">
            <v>2182</v>
          </cell>
          <cell r="D9">
            <v>45139</v>
          </cell>
          <cell r="E9" t="str">
            <v>AV : QUINZE DE NOVEMBRO , 167</v>
          </cell>
          <cell r="F9" t="str">
            <v>CENTRO</v>
          </cell>
          <cell r="G9" t="str">
            <v>ARARAQUARA</v>
          </cell>
          <cell r="H9" t="str">
            <v>SP INT BAURU</v>
          </cell>
          <cell r="I9" t="str">
            <v>T</v>
          </cell>
          <cell r="J9">
            <v>11</v>
          </cell>
          <cell r="K9">
            <v>0</v>
          </cell>
          <cell r="L9" t="str">
            <v>VICTOR</v>
          </cell>
          <cell r="M9" t="str">
            <v>01 VAN</v>
          </cell>
          <cell r="N9">
            <v>0.70833333333333337</v>
          </cell>
        </row>
        <row r="10">
          <cell r="A10" t="str">
            <v>OXX1086267</v>
          </cell>
          <cell r="B10" t="str">
            <v>OXX</v>
          </cell>
          <cell r="C10">
            <v>1086267</v>
          </cell>
          <cell r="D10">
            <v>45139</v>
          </cell>
          <cell r="E10" t="str">
            <v xml:space="preserve">RUA DR. COSTA AGUIAR , 682 </v>
          </cell>
          <cell r="F10" t="str">
            <v>CENTRO - CATEDRAL</v>
          </cell>
          <cell r="G10" t="str">
            <v>CAMPINAS</v>
          </cell>
          <cell r="H10" t="str">
            <v>SP INT CPN</v>
          </cell>
          <cell r="I10" t="str">
            <v>P</v>
          </cell>
          <cell r="J10">
            <v>3</v>
          </cell>
          <cell r="K10" t="str">
            <v>DIURNO</v>
          </cell>
          <cell r="L10" t="str">
            <v>IZABELA/THALIA</v>
          </cell>
          <cell r="M10" t="str">
            <v>NÃO</v>
          </cell>
          <cell r="N10" t="str">
            <v>NÃO</v>
          </cell>
        </row>
        <row r="11">
          <cell r="A11" t="str">
            <v>OXX1088751</v>
          </cell>
          <cell r="B11" t="str">
            <v>OXX</v>
          </cell>
          <cell r="C11">
            <v>1088751</v>
          </cell>
          <cell r="D11">
            <v>45139</v>
          </cell>
          <cell r="E11" t="str">
            <v>AV : IMPERATRIZ LEOPOLDINA , 129</v>
          </cell>
          <cell r="F11" t="str">
            <v>VILA NOVA - IMPERATRIZ BOUTIQUE</v>
          </cell>
          <cell r="G11" t="str">
            <v>CAMPINAS</v>
          </cell>
          <cell r="H11" t="str">
            <v>SP INT CPN</v>
          </cell>
          <cell r="I11" t="str">
            <v>P</v>
          </cell>
          <cell r="J11">
            <v>3</v>
          </cell>
          <cell r="K11" t="str">
            <v>DIURNO</v>
          </cell>
          <cell r="L11" t="str">
            <v>LETÍCIA/EVA</v>
          </cell>
          <cell r="M11" t="str">
            <v>NÃO</v>
          </cell>
          <cell r="N11" t="str">
            <v>NÃO</v>
          </cell>
        </row>
        <row r="12">
          <cell r="A12" t="str">
            <v>OXX1101926</v>
          </cell>
          <cell r="B12" t="str">
            <v>OXX</v>
          </cell>
          <cell r="C12">
            <v>1101926</v>
          </cell>
          <cell r="D12">
            <v>45139</v>
          </cell>
          <cell r="E12" t="str">
            <v>RUA BARÃO DO RIO BRANCO , 430</v>
          </cell>
          <cell r="F12" t="str">
            <v>SANTA ROSA - KOMIDARIA</v>
          </cell>
          <cell r="G12" t="str">
            <v>JUNDIAÍ</v>
          </cell>
          <cell r="H12" t="str">
            <v>SP INT CPN</v>
          </cell>
          <cell r="I12" t="str">
            <v>P</v>
          </cell>
          <cell r="J12">
            <v>3</v>
          </cell>
          <cell r="K12" t="str">
            <v>DIURNO</v>
          </cell>
          <cell r="L12" t="str">
            <v>LEONARDO</v>
          </cell>
          <cell r="M12" t="str">
            <v>UBER</v>
          </cell>
          <cell r="N12">
            <v>0.29166666666666669</v>
          </cell>
        </row>
        <row r="13">
          <cell r="A13" t="str">
            <v>JAU23</v>
          </cell>
          <cell r="B13" t="str">
            <v>JAU</v>
          </cell>
          <cell r="C13">
            <v>23</v>
          </cell>
          <cell r="D13">
            <v>45139</v>
          </cell>
          <cell r="E13" t="str">
            <v>RUA XV DE NOVEMBRO , 1070</v>
          </cell>
          <cell r="F13" t="str">
            <v>CENTRO</v>
          </cell>
          <cell r="G13" t="str">
            <v>DESCALVADO</v>
          </cell>
          <cell r="H13" t="str">
            <v>SP INT LIMEIRA</v>
          </cell>
          <cell r="I13" t="str">
            <v>T</v>
          </cell>
          <cell r="J13">
            <v>24</v>
          </cell>
          <cell r="K13">
            <v>0</v>
          </cell>
          <cell r="L13" t="str">
            <v>GUSTAVO</v>
          </cell>
          <cell r="M13" t="str">
            <v>02 VANS</v>
          </cell>
          <cell r="N13">
            <v>0.66666666666666663</v>
          </cell>
        </row>
        <row r="14">
          <cell r="A14" t="str">
            <v>DSP943</v>
          </cell>
          <cell r="B14" t="str">
            <v>DSP</v>
          </cell>
          <cell r="C14">
            <v>943</v>
          </cell>
          <cell r="D14">
            <v>45139</v>
          </cell>
          <cell r="E14" t="str">
            <v>AV : DR. JANUÁRIO MIRAGLIA , 828</v>
          </cell>
          <cell r="F14" t="str">
            <v>VILA ABERNESSIA - 24h</v>
          </cell>
          <cell r="G14" t="str">
            <v>CAMPOS DO JORDÃO</v>
          </cell>
          <cell r="H14" t="str">
            <v>SP INT SJC</v>
          </cell>
          <cell r="I14" t="str">
            <v>T</v>
          </cell>
          <cell r="J14">
            <v>15</v>
          </cell>
          <cell r="K14">
            <v>0</v>
          </cell>
          <cell r="L14" t="str">
            <v>JAÍNE/BRUNA</v>
          </cell>
          <cell r="M14" t="str">
            <v>01 VAN</v>
          </cell>
          <cell r="N14">
            <v>0.72916666666666663</v>
          </cell>
        </row>
        <row r="15">
          <cell r="A15" t="str">
            <v>PEN130</v>
          </cell>
          <cell r="B15" t="str">
            <v>PEN</v>
          </cell>
          <cell r="C15">
            <v>130</v>
          </cell>
          <cell r="D15">
            <v>45139</v>
          </cell>
          <cell r="E15" t="str">
            <v>RUA DR. LÚCIO MALTA , 361 / 367</v>
          </cell>
          <cell r="F15" t="str">
            <v>CENTRO</v>
          </cell>
          <cell r="G15" t="str">
            <v>JACAREÍ</v>
          </cell>
          <cell r="H15" t="str">
            <v>SP INT SJC</v>
          </cell>
          <cell r="I15" t="str">
            <v>T</v>
          </cell>
          <cell r="J15">
            <v>5</v>
          </cell>
          <cell r="K15">
            <v>0</v>
          </cell>
          <cell r="L15" t="str">
            <v>FELIPE/NATÁLIA</v>
          </cell>
          <cell r="M15" t="str">
            <v>01 CARRO</v>
          </cell>
          <cell r="N15">
            <v>0.70833333333333337</v>
          </cell>
        </row>
        <row r="16">
          <cell r="A16" t="str">
            <v>CDG571</v>
          </cell>
          <cell r="B16" t="str">
            <v>CDG</v>
          </cell>
          <cell r="C16">
            <v>571</v>
          </cell>
          <cell r="D16">
            <v>45139</v>
          </cell>
          <cell r="E16" t="str">
            <v>AV : BRASIL , 376 - SOROCABA NORTE</v>
          </cell>
          <cell r="F16" t="str">
            <v>TERRA VERMELHA</v>
          </cell>
          <cell r="G16" t="str">
            <v>SOROCABA</v>
          </cell>
          <cell r="H16" t="str">
            <v>SP LESTE</v>
          </cell>
          <cell r="I16" t="str">
            <v>T</v>
          </cell>
          <cell r="J16">
            <v>7</v>
          </cell>
          <cell r="K16">
            <v>0</v>
          </cell>
          <cell r="L16" t="str">
            <v>MARCELO</v>
          </cell>
          <cell r="M16" t="str">
            <v>03 VANS</v>
          </cell>
          <cell r="N16">
            <v>0.66666666666666663</v>
          </cell>
        </row>
        <row r="17">
          <cell r="A17" t="str">
            <v>CFO322</v>
          </cell>
          <cell r="B17" t="str">
            <v>CFO</v>
          </cell>
          <cell r="C17">
            <v>322</v>
          </cell>
          <cell r="D17">
            <v>45139</v>
          </cell>
          <cell r="E17" t="str">
            <v>AV : BRASIL , 376 - SOROCABA NORTE</v>
          </cell>
          <cell r="F17" t="str">
            <v>TERRA VERMELHA</v>
          </cell>
          <cell r="G17" t="str">
            <v>SOROCABA</v>
          </cell>
          <cell r="H17" t="str">
            <v>SP LESTE</v>
          </cell>
          <cell r="I17" t="str">
            <v>PNA</v>
          </cell>
          <cell r="J17">
            <v>29</v>
          </cell>
          <cell r="K17">
            <v>0</v>
          </cell>
          <cell r="L17" t="str">
            <v>LUANA/PATRÍCIA</v>
          </cell>
          <cell r="M17">
            <v>0</v>
          </cell>
          <cell r="N17">
            <v>0.66666666666666663</v>
          </cell>
        </row>
        <row r="18">
          <cell r="A18" t="str">
            <v>DSP34</v>
          </cell>
          <cell r="B18" t="str">
            <v>DSP</v>
          </cell>
          <cell r="C18">
            <v>34</v>
          </cell>
          <cell r="D18">
            <v>45139</v>
          </cell>
          <cell r="E18" t="str">
            <v>RUA NOVE DE JULHO , 702 / 706</v>
          </cell>
          <cell r="F18" t="str">
            <v>CENTRO - 24h</v>
          </cell>
          <cell r="G18" t="str">
            <v>ARARAQUARA</v>
          </cell>
          <cell r="H18" t="str">
            <v>SP LESTE</v>
          </cell>
          <cell r="I18" t="str">
            <v>T</v>
          </cell>
          <cell r="J18">
            <v>13</v>
          </cell>
          <cell r="K18">
            <v>0</v>
          </cell>
          <cell r="L18" t="str">
            <v>JÉSSICA</v>
          </cell>
          <cell r="M18" t="str">
            <v>01 VAN</v>
          </cell>
          <cell r="N18">
            <v>0.66666666666666663</v>
          </cell>
        </row>
        <row r="19">
          <cell r="A19" t="str">
            <v>MPA502</v>
          </cell>
          <cell r="B19" t="str">
            <v>MPA</v>
          </cell>
          <cell r="C19">
            <v>502</v>
          </cell>
          <cell r="D19">
            <v>45139</v>
          </cell>
          <cell r="E19" t="str">
            <v>RUA PAIM , 269</v>
          </cell>
          <cell r="F19" t="str">
            <v>BELA VISTA</v>
          </cell>
          <cell r="G19" t="str">
            <v>SÃO PAULO</v>
          </cell>
          <cell r="H19" t="str">
            <v>SP LESTE</v>
          </cell>
          <cell r="I19" t="str">
            <v>T</v>
          </cell>
          <cell r="J19">
            <v>11</v>
          </cell>
          <cell r="K19">
            <v>0</v>
          </cell>
          <cell r="L19" t="str">
            <v>ELISABETE</v>
          </cell>
          <cell r="M19" t="str">
            <v>NÃO</v>
          </cell>
          <cell r="N19" t="str">
            <v>NÃO</v>
          </cell>
        </row>
        <row r="20">
          <cell r="A20" t="str">
            <v>MPA5706</v>
          </cell>
          <cell r="B20" t="str">
            <v>MPA</v>
          </cell>
          <cell r="C20">
            <v>5706</v>
          </cell>
          <cell r="D20">
            <v>45139</v>
          </cell>
          <cell r="E20" t="str">
            <v>RUA BELA CINTRA , 1737</v>
          </cell>
          <cell r="F20" t="str">
            <v>CONSOLAÇÃO</v>
          </cell>
          <cell r="G20" t="str">
            <v>SÃO PAULO</v>
          </cell>
          <cell r="H20" t="str">
            <v>SP LESTE</v>
          </cell>
          <cell r="I20" t="str">
            <v>T</v>
          </cell>
          <cell r="J20">
            <v>15</v>
          </cell>
          <cell r="K20">
            <v>0</v>
          </cell>
          <cell r="L20" t="str">
            <v>LUÍS</v>
          </cell>
          <cell r="M20" t="str">
            <v>NÃO</v>
          </cell>
          <cell r="N20" t="str">
            <v>NÃO</v>
          </cell>
        </row>
        <row r="21">
          <cell r="A21" t="str">
            <v>PMO53</v>
          </cell>
          <cell r="B21" t="str">
            <v>PMO</v>
          </cell>
          <cell r="C21">
            <v>53</v>
          </cell>
          <cell r="D21">
            <v>45139</v>
          </cell>
          <cell r="E21" t="str">
            <v>AV : RIO DAS PEDRAS , 1793</v>
          </cell>
          <cell r="F21" t="str">
            <v>JD. ARICANDUVA</v>
          </cell>
          <cell r="G21" t="str">
            <v>SÃO PAULO</v>
          </cell>
          <cell r="H21" t="str">
            <v>SP LESTE</v>
          </cell>
          <cell r="I21" t="str">
            <v>T</v>
          </cell>
          <cell r="J21">
            <v>6</v>
          </cell>
          <cell r="K21">
            <v>0</v>
          </cell>
          <cell r="L21" t="str">
            <v>TAMIRES</v>
          </cell>
          <cell r="M21" t="str">
            <v>NÃO</v>
          </cell>
          <cell r="N21" t="str">
            <v>NÃO</v>
          </cell>
        </row>
        <row r="22">
          <cell r="A22" t="str">
            <v>OXX1098219</v>
          </cell>
          <cell r="B22" t="str">
            <v>OXX</v>
          </cell>
          <cell r="C22">
            <v>1098219</v>
          </cell>
          <cell r="D22">
            <v>45139</v>
          </cell>
          <cell r="E22" t="str">
            <v>RUA NSA. SRA. MÃE DOS HOMENS , 707</v>
          </cell>
          <cell r="F22" t="str">
            <v>VILA PROGRESSO - NAQUINA</v>
          </cell>
          <cell r="G22" t="str">
            <v>GUARULHOS</v>
          </cell>
          <cell r="H22" t="str">
            <v>SP LESTE X</v>
          </cell>
          <cell r="I22" t="str">
            <v>P</v>
          </cell>
          <cell r="J22">
            <v>3</v>
          </cell>
          <cell r="K22" t="str">
            <v>DIURNO</v>
          </cell>
          <cell r="L22" t="str">
            <v>CÁSSIA/ARTHUR</v>
          </cell>
          <cell r="M22" t="str">
            <v>UBER</v>
          </cell>
          <cell r="N22">
            <v>0.29166666666666669</v>
          </cell>
        </row>
        <row r="23">
          <cell r="A23" t="str">
            <v>OXX1099201</v>
          </cell>
          <cell r="B23" t="str">
            <v>OXX</v>
          </cell>
          <cell r="C23">
            <v>1099201</v>
          </cell>
          <cell r="D23">
            <v>45139</v>
          </cell>
          <cell r="E23" t="str">
            <v>RUA CATEQUESE , 1032</v>
          </cell>
          <cell r="F23" t="str">
            <v>VILA GUIOMAR - ESTACIONAMENTO</v>
          </cell>
          <cell r="G23" t="str">
            <v>SANTO ANDRÉ</v>
          </cell>
          <cell r="H23" t="str">
            <v>SP LESTE X</v>
          </cell>
          <cell r="I23" t="str">
            <v>P</v>
          </cell>
          <cell r="J23">
            <v>3</v>
          </cell>
          <cell r="K23" t="str">
            <v>DIURNO</v>
          </cell>
          <cell r="L23" t="str">
            <v>JOSÉ WELVYS/KAIQUE</v>
          </cell>
          <cell r="M23" t="str">
            <v>NÃO</v>
          </cell>
          <cell r="N23" t="str">
            <v>NÃO</v>
          </cell>
        </row>
        <row r="24">
          <cell r="A24" t="str">
            <v>OXX1100338</v>
          </cell>
          <cell r="B24" t="str">
            <v>OXX</v>
          </cell>
          <cell r="C24">
            <v>1100338</v>
          </cell>
          <cell r="D24">
            <v>45139</v>
          </cell>
          <cell r="E24" t="str">
            <v>RUA BARRA FUNDA , 368</v>
          </cell>
          <cell r="F24" t="str">
            <v>BARRA FUNDA - RIQUEZA</v>
          </cell>
          <cell r="G24" t="str">
            <v>SÃO PAULO</v>
          </cell>
          <cell r="H24" t="str">
            <v>SP LESTE X</v>
          </cell>
          <cell r="I24" t="str">
            <v>P</v>
          </cell>
          <cell r="J24">
            <v>3</v>
          </cell>
          <cell r="K24" t="str">
            <v>DIURNO</v>
          </cell>
          <cell r="L24" t="str">
            <v>LARISSA</v>
          </cell>
          <cell r="M24" t="str">
            <v>NÃO</v>
          </cell>
          <cell r="N24" t="str">
            <v>NÃO</v>
          </cell>
        </row>
        <row r="25">
          <cell r="A25" t="str">
            <v>OXX1100537</v>
          </cell>
          <cell r="B25" t="str">
            <v>OXX</v>
          </cell>
          <cell r="C25">
            <v>1100537</v>
          </cell>
          <cell r="D25">
            <v>45139</v>
          </cell>
          <cell r="E25" t="str">
            <v>RUA HEITOR PENTEADO , 1326</v>
          </cell>
          <cell r="F25" t="str">
            <v>SUMAREZINHO - BUBRAS</v>
          </cell>
          <cell r="G25" t="str">
            <v>SÃO PAULO</v>
          </cell>
          <cell r="H25" t="str">
            <v>SP LESTE X</v>
          </cell>
          <cell r="I25" t="str">
            <v>P</v>
          </cell>
          <cell r="J25">
            <v>3</v>
          </cell>
          <cell r="K25" t="str">
            <v>DIURNO</v>
          </cell>
          <cell r="L25" t="str">
            <v>GAMA</v>
          </cell>
          <cell r="M25" t="str">
            <v>NÃO</v>
          </cell>
          <cell r="N25" t="str">
            <v>NÃO</v>
          </cell>
        </row>
        <row r="26">
          <cell r="A26" t="str">
            <v>OXX1101803</v>
          </cell>
          <cell r="B26" t="str">
            <v>OXX</v>
          </cell>
          <cell r="C26">
            <v>1101803</v>
          </cell>
          <cell r="D26">
            <v>45139</v>
          </cell>
          <cell r="E26" t="str">
            <v>AV : ALBERTO BYINGTON , 384</v>
          </cell>
          <cell r="F26" t="str">
            <v>VILA MARIA ALTA - PRAINHA</v>
          </cell>
          <cell r="G26" t="str">
            <v>SÃO PAULO</v>
          </cell>
          <cell r="H26" t="str">
            <v>SP LESTE X</v>
          </cell>
          <cell r="I26" t="str">
            <v>P</v>
          </cell>
          <cell r="J26">
            <v>3</v>
          </cell>
          <cell r="K26" t="str">
            <v>DIURNO</v>
          </cell>
          <cell r="L26" t="str">
            <v>ANDERSON/JOYCE</v>
          </cell>
          <cell r="M26" t="str">
            <v>NÃO</v>
          </cell>
          <cell r="N26" t="str">
            <v>NÃO</v>
          </cell>
        </row>
        <row r="27">
          <cell r="A27" t="str">
            <v>CFX1207</v>
          </cell>
          <cell r="B27" t="str">
            <v>CFX</v>
          </cell>
          <cell r="C27">
            <v>1207</v>
          </cell>
          <cell r="D27">
            <v>45139</v>
          </cell>
          <cell r="E27" t="str">
            <v>AV : INTERLAGOS , 1595</v>
          </cell>
          <cell r="F27" t="str">
            <v>INTERLAGOS - COND. INTERCLUBE ALPHA</v>
          </cell>
          <cell r="G27" t="str">
            <v>SÃO PAULO</v>
          </cell>
          <cell r="H27" t="str">
            <v>SP SUL</v>
          </cell>
          <cell r="I27" t="str">
            <v>T</v>
          </cell>
          <cell r="J27">
            <v>2</v>
          </cell>
          <cell r="K27" t="str">
            <v>DIURNO</v>
          </cell>
          <cell r="L27" t="str">
            <v>GLEDSON</v>
          </cell>
          <cell r="M27" t="str">
            <v>NÃO</v>
          </cell>
          <cell r="N27" t="str">
            <v>NÃO</v>
          </cell>
        </row>
        <row r="28">
          <cell r="A28" t="str">
            <v>DSP13</v>
          </cell>
          <cell r="B28" t="str">
            <v>DSP</v>
          </cell>
          <cell r="C28">
            <v>13</v>
          </cell>
          <cell r="D28">
            <v>45139</v>
          </cell>
          <cell r="E28" t="str">
            <v>RUA GERTRUDES DE LIMA , 749</v>
          </cell>
          <cell r="F28" t="str">
            <v>CENTRO - 24h</v>
          </cell>
          <cell r="G28" t="str">
            <v>SANTO ANDRÉ</v>
          </cell>
          <cell r="H28" t="str">
            <v>SP SUL</v>
          </cell>
          <cell r="I28" t="str">
            <v>T</v>
          </cell>
          <cell r="J28">
            <v>14</v>
          </cell>
          <cell r="K28">
            <v>0</v>
          </cell>
          <cell r="L28" t="str">
            <v>JUSCELINO</v>
          </cell>
          <cell r="M28" t="str">
            <v>01 VAN</v>
          </cell>
          <cell r="N28">
            <v>0.75</v>
          </cell>
        </row>
        <row r="29">
          <cell r="A29" t="str">
            <v>DSP496</v>
          </cell>
          <cell r="B29" t="str">
            <v>DSP</v>
          </cell>
          <cell r="C29">
            <v>496</v>
          </cell>
          <cell r="D29">
            <v>45139</v>
          </cell>
          <cell r="E29" t="str">
            <v>AV : PEREIRA BARRETO , 42</v>
          </cell>
          <cell r="F29" t="str">
            <v>SHOPPING ABC</v>
          </cell>
          <cell r="G29" t="str">
            <v>SANTO ANDRÉ</v>
          </cell>
          <cell r="H29" t="str">
            <v>SP SUL</v>
          </cell>
          <cell r="I29" t="str">
            <v>T</v>
          </cell>
          <cell r="J29">
            <v>10</v>
          </cell>
          <cell r="K29">
            <v>0</v>
          </cell>
          <cell r="L29" t="str">
            <v>ELAINE</v>
          </cell>
          <cell r="M29" t="str">
            <v>01 VAN</v>
          </cell>
          <cell r="N29">
            <v>0.75</v>
          </cell>
        </row>
        <row r="30">
          <cell r="A30" t="str">
            <v>ELY135</v>
          </cell>
          <cell r="B30" t="str">
            <v>ELY</v>
          </cell>
          <cell r="C30">
            <v>135</v>
          </cell>
          <cell r="D30">
            <v>45139</v>
          </cell>
          <cell r="E30" t="str">
            <v>AV : PRES. JUSCELINO KUBITSCHEK , 1489</v>
          </cell>
          <cell r="F30" t="str">
            <v>ITAIM BIBI - EATALY</v>
          </cell>
          <cell r="G30" t="str">
            <v>SÃO PAULO</v>
          </cell>
          <cell r="H30" t="str">
            <v>SP SUL</v>
          </cell>
          <cell r="I30" t="str">
            <v>T</v>
          </cell>
          <cell r="J30">
            <v>24</v>
          </cell>
          <cell r="K30">
            <v>0</v>
          </cell>
          <cell r="L30" t="str">
            <v>VIANA/RUAN/CARLOS</v>
          </cell>
          <cell r="M30" t="str">
            <v>NÃO</v>
          </cell>
          <cell r="N30" t="str">
            <v>NÃO</v>
          </cell>
        </row>
        <row r="31">
          <cell r="A31" t="str">
            <v>PMO50</v>
          </cell>
          <cell r="B31" t="str">
            <v>PMO</v>
          </cell>
          <cell r="C31">
            <v>50</v>
          </cell>
          <cell r="D31">
            <v>45139</v>
          </cell>
          <cell r="E31" t="str">
            <v>PRAÇA NICOLA VIVILECHIO , 103</v>
          </cell>
          <cell r="F31" t="str">
            <v>JARDIM BONTEMPO</v>
          </cell>
          <cell r="G31" t="str">
            <v>TABOÃO DA SERRA</v>
          </cell>
          <cell r="H31" t="str">
            <v>SP SUL</v>
          </cell>
          <cell r="I31" t="str">
            <v>T</v>
          </cell>
          <cell r="J31">
            <v>7</v>
          </cell>
          <cell r="K31">
            <v>0</v>
          </cell>
          <cell r="L31" t="str">
            <v>FERNANDO/DÉBORA</v>
          </cell>
          <cell r="M31" t="str">
            <v>UBER</v>
          </cell>
          <cell r="N31">
            <v>0.79166666666666663</v>
          </cell>
        </row>
        <row r="32">
          <cell r="A32" t="str">
            <v>OXX1097135</v>
          </cell>
          <cell r="B32" t="str">
            <v>OXX</v>
          </cell>
          <cell r="C32">
            <v>1097135</v>
          </cell>
          <cell r="D32">
            <v>45139</v>
          </cell>
          <cell r="E32" t="str">
            <v>RUA DR. PENAFORTES MENDES , 69</v>
          </cell>
          <cell r="F32" t="str">
            <v>BELA VISTA - ONE</v>
          </cell>
          <cell r="G32" t="str">
            <v>SÃO PAULO</v>
          </cell>
          <cell r="H32" t="str">
            <v>SP SUL X</v>
          </cell>
          <cell r="I32" t="str">
            <v>P</v>
          </cell>
          <cell r="J32">
            <v>3</v>
          </cell>
          <cell r="K32" t="str">
            <v>DIURNO</v>
          </cell>
          <cell r="L32" t="str">
            <v>RAYANE</v>
          </cell>
          <cell r="M32" t="str">
            <v>NÃO</v>
          </cell>
          <cell r="N32" t="str">
            <v>NÃO</v>
          </cell>
        </row>
        <row r="33">
          <cell r="A33" t="str">
            <v>OXX1100260</v>
          </cell>
          <cell r="B33" t="str">
            <v>OXX</v>
          </cell>
          <cell r="C33">
            <v>1100260</v>
          </cell>
          <cell r="D33">
            <v>45139</v>
          </cell>
          <cell r="E33" t="str">
            <v>AV : LINS DE VASCONCELOS , 805</v>
          </cell>
          <cell r="F33" t="str">
            <v>CAMBUCI - SMART</v>
          </cell>
          <cell r="G33" t="str">
            <v>SÃO PAULO</v>
          </cell>
          <cell r="H33" t="str">
            <v>SP SUL X</v>
          </cell>
          <cell r="I33" t="str">
            <v>P</v>
          </cell>
          <cell r="J33">
            <v>3</v>
          </cell>
          <cell r="K33" t="str">
            <v>DIURNO</v>
          </cell>
          <cell r="L33" t="str">
            <v>JÉSSICA</v>
          </cell>
          <cell r="M33" t="str">
            <v>NÃO</v>
          </cell>
          <cell r="N33" t="str">
            <v>NÃO</v>
          </cell>
        </row>
        <row r="34">
          <cell r="A34" t="str">
            <v>OXX1100720</v>
          </cell>
          <cell r="B34" t="str">
            <v>OXX</v>
          </cell>
          <cell r="C34">
            <v>1100720</v>
          </cell>
          <cell r="D34">
            <v>45139</v>
          </cell>
          <cell r="E34" t="str">
            <v>RUA NELSON GAMA DE OLIVEIRA , 120</v>
          </cell>
          <cell r="F34" t="str">
            <v>VILA ANDRADE - JD. SUL</v>
          </cell>
          <cell r="G34" t="str">
            <v>SÃO PAULO</v>
          </cell>
          <cell r="H34" t="str">
            <v>SP SUL X</v>
          </cell>
          <cell r="I34" t="str">
            <v>P</v>
          </cell>
          <cell r="J34">
            <v>3</v>
          </cell>
          <cell r="K34" t="str">
            <v>DIURNO</v>
          </cell>
          <cell r="L34" t="str">
            <v>NATHALIA</v>
          </cell>
          <cell r="M34" t="str">
            <v>NÃO</v>
          </cell>
          <cell r="N34" t="str">
            <v>NÃO</v>
          </cell>
        </row>
        <row r="35">
          <cell r="A35" t="str">
            <v>OXX1100732</v>
          </cell>
          <cell r="B35" t="str">
            <v>OXX</v>
          </cell>
          <cell r="C35">
            <v>1100732</v>
          </cell>
          <cell r="D35">
            <v>45139</v>
          </cell>
          <cell r="E35" t="str">
            <v>RUA FRANCISCO PATERNOST , 225 - PQ. FONGARO</v>
          </cell>
          <cell r="F35" t="str">
            <v>IPIRANGA - VIELA</v>
          </cell>
          <cell r="G35" t="str">
            <v>SÃO PAULO</v>
          </cell>
          <cell r="H35" t="str">
            <v>SP SUL X</v>
          </cell>
          <cell r="I35" t="str">
            <v>P</v>
          </cell>
          <cell r="J35">
            <v>3</v>
          </cell>
          <cell r="K35" t="str">
            <v>DIURNO</v>
          </cell>
          <cell r="L35" t="str">
            <v>ANDRÉ</v>
          </cell>
          <cell r="M35" t="str">
            <v>NÃO</v>
          </cell>
          <cell r="N35" t="str">
            <v>NÃO</v>
          </cell>
        </row>
        <row r="36">
          <cell r="A36" t="str">
            <v>OXX1101444</v>
          </cell>
          <cell r="B36" t="str">
            <v>OXX</v>
          </cell>
          <cell r="C36">
            <v>1101444</v>
          </cell>
          <cell r="D36">
            <v>45139</v>
          </cell>
          <cell r="E36" t="str">
            <v>RUA CLEMENTE ÁLVARES , 278</v>
          </cell>
          <cell r="F36" t="str">
            <v>LAPA - BABUCHI</v>
          </cell>
          <cell r="G36" t="str">
            <v>SÃO PAULO</v>
          </cell>
          <cell r="H36" t="str">
            <v>SP SUL X</v>
          </cell>
          <cell r="I36" t="str">
            <v>P</v>
          </cell>
          <cell r="J36">
            <v>3</v>
          </cell>
          <cell r="K36" t="str">
            <v>DIURNO</v>
          </cell>
          <cell r="L36" t="str">
            <v>FLAVIA</v>
          </cell>
          <cell r="M36" t="str">
            <v>NÃO</v>
          </cell>
          <cell r="N36" t="str">
            <v>NÃO</v>
          </cell>
        </row>
        <row r="37">
          <cell r="A37" t="str">
            <v>OXX1101813</v>
          </cell>
          <cell r="B37" t="str">
            <v>OXX</v>
          </cell>
          <cell r="C37">
            <v>1101813</v>
          </cell>
          <cell r="D37">
            <v>45139</v>
          </cell>
          <cell r="E37" t="str">
            <v>RUA ARTUR DE AZEVEDO , 924</v>
          </cell>
          <cell r="F37" t="str">
            <v>PINHEIROS - LEITÃO</v>
          </cell>
          <cell r="G37" t="str">
            <v>SÃO PAULO</v>
          </cell>
          <cell r="H37" t="str">
            <v>SP SUL X</v>
          </cell>
          <cell r="I37" t="str">
            <v>P</v>
          </cell>
          <cell r="J37">
            <v>3</v>
          </cell>
          <cell r="K37" t="str">
            <v>DIURNO</v>
          </cell>
          <cell r="L37" t="str">
            <v>CLAUDIA</v>
          </cell>
          <cell r="M37" t="str">
            <v>NÃO</v>
          </cell>
          <cell r="N37" t="str">
            <v>NÃO</v>
          </cell>
        </row>
        <row r="38">
          <cell r="A38" t="str">
            <v/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 t="str">
            <v>Total</v>
          </cell>
          <cell r="J38">
            <v>273</v>
          </cell>
          <cell r="K38">
            <v>317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/>
          </cell>
          <cell r="B39">
            <v>0</v>
          </cell>
          <cell r="C39">
            <v>0</v>
          </cell>
          <cell r="D39">
            <v>0</v>
          </cell>
          <cell r="E39">
            <v>45140</v>
          </cell>
          <cell r="F39" t="str">
            <v>QUARTA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TDI1325</v>
          </cell>
          <cell r="B40" t="str">
            <v>TDI</v>
          </cell>
          <cell r="C40">
            <v>1325</v>
          </cell>
          <cell r="D40">
            <v>45140</v>
          </cell>
          <cell r="E40" t="str">
            <v>RUA NICOLAU KLUPPEL NETTO , 1529</v>
          </cell>
          <cell r="F40" t="str">
            <v>CONTORNO</v>
          </cell>
          <cell r="G40" t="str">
            <v>PONTA GROSSA</v>
          </cell>
          <cell r="H40" t="str">
            <v>PR CURITIBA</v>
          </cell>
          <cell r="I40" t="str">
            <v>T</v>
          </cell>
          <cell r="J40">
            <v>9</v>
          </cell>
          <cell r="K40">
            <v>0</v>
          </cell>
          <cell r="L40" t="str">
            <v>HENRIQUE</v>
          </cell>
          <cell r="M40" t="str">
            <v>01 VAN</v>
          </cell>
          <cell r="N40">
            <v>0.66666666666666663</v>
          </cell>
        </row>
        <row r="41">
          <cell r="A41" t="str">
            <v>VVE25</v>
          </cell>
          <cell r="B41" t="str">
            <v>VVE</v>
          </cell>
          <cell r="C41">
            <v>25</v>
          </cell>
          <cell r="D41">
            <v>45140</v>
          </cell>
          <cell r="E41" t="str">
            <v>AV : AYRTON SENNA DA SILVA , 830 - SALA 01</v>
          </cell>
          <cell r="F41" t="str">
            <v>GLEBA FAZENDA PALHANO</v>
          </cell>
          <cell r="G41" t="str">
            <v>LONDRINA</v>
          </cell>
          <cell r="H41" t="str">
            <v>PR LONDRINA</v>
          </cell>
          <cell r="I41" t="str">
            <v>T</v>
          </cell>
          <cell r="J41">
            <v>5</v>
          </cell>
          <cell r="K41">
            <v>0</v>
          </cell>
          <cell r="L41" t="str">
            <v>MARIANA</v>
          </cell>
          <cell r="M41" t="str">
            <v>NÃO</v>
          </cell>
          <cell r="N41" t="str">
            <v>NÃO</v>
          </cell>
        </row>
        <row r="42">
          <cell r="A42" t="str">
            <v>EXS1515</v>
          </cell>
          <cell r="B42" t="str">
            <v>EXS</v>
          </cell>
          <cell r="C42">
            <v>1515</v>
          </cell>
          <cell r="D42">
            <v>45140</v>
          </cell>
          <cell r="E42" t="str">
            <v>AV : 28 DE SETEMBRO , 431 / 433</v>
          </cell>
          <cell r="F42" t="str">
            <v>VILA ISABEL</v>
          </cell>
          <cell r="G42" t="str">
            <v>RIO DE JANEIRO</v>
          </cell>
          <cell r="H42" t="str">
            <v>RJ</v>
          </cell>
          <cell r="I42" t="str">
            <v>T</v>
          </cell>
          <cell r="J42">
            <v>36</v>
          </cell>
          <cell r="K42">
            <v>0</v>
          </cell>
          <cell r="L42" t="str">
            <v>RAFAEL</v>
          </cell>
          <cell r="M42" t="str">
            <v>NÃO</v>
          </cell>
          <cell r="N42" t="str">
            <v>NÃO</v>
          </cell>
        </row>
        <row r="43">
          <cell r="A43" t="str">
            <v>DSP740</v>
          </cell>
          <cell r="B43" t="str">
            <v>DSP</v>
          </cell>
          <cell r="C43">
            <v>740</v>
          </cell>
          <cell r="D43">
            <v>45140</v>
          </cell>
          <cell r="E43" t="str">
            <v>AV : GETÚLIO VARGAS , QUADRA 06-66</v>
          </cell>
          <cell r="F43" t="str">
            <v>VILA GUEDES DE AZEVEDO - 24h</v>
          </cell>
          <cell r="G43" t="str">
            <v>BAURU</v>
          </cell>
          <cell r="H43" t="str">
            <v>SP INT BAURU</v>
          </cell>
          <cell r="I43" t="str">
            <v>CAN</v>
          </cell>
          <cell r="J43">
            <v>13</v>
          </cell>
          <cell r="K43">
            <v>0</v>
          </cell>
          <cell r="L43" t="str">
            <v>VICTOR</v>
          </cell>
          <cell r="M43" t="str">
            <v>NÃO</v>
          </cell>
          <cell r="N43" t="str">
            <v>NÃO</v>
          </cell>
        </row>
        <row r="44">
          <cell r="A44" t="str">
            <v>SAM4033</v>
          </cell>
          <cell r="B44" t="str">
            <v>SAM</v>
          </cell>
          <cell r="C44">
            <v>4033</v>
          </cell>
          <cell r="D44">
            <v>45140</v>
          </cell>
          <cell r="E44" t="str">
            <v>RUA CHAIM MAUAD , 2100</v>
          </cell>
          <cell r="F44" t="str">
            <v>VILA REGINA</v>
          </cell>
          <cell r="G44" t="str">
            <v>BAURU</v>
          </cell>
          <cell r="H44" t="str">
            <v>SP INT BAURU</v>
          </cell>
          <cell r="I44" t="str">
            <v>CA</v>
          </cell>
          <cell r="J44">
            <v>15</v>
          </cell>
          <cell r="K44">
            <v>0</v>
          </cell>
          <cell r="L44" t="str">
            <v>ROSÂNGELA</v>
          </cell>
          <cell r="M44" t="str">
            <v>NÃO</v>
          </cell>
          <cell r="N44" t="str">
            <v>NÃO</v>
          </cell>
        </row>
        <row r="45">
          <cell r="A45" t="str">
            <v>OXX1093738</v>
          </cell>
          <cell r="B45" t="str">
            <v>OXX</v>
          </cell>
          <cell r="C45">
            <v>1093738</v>
          </cell>
          <cell r="D45">
            <v>45140</v>
          </cell>
          <cell r="E45" t="str">
            <v>RUA DR. RUBERLEI BOARETO DA SILVA , 442</v>
          </cell>
          <cell r="F45" t="str">
            <v>BARÃO GERALDO - ATÍLIO MARTINI</v>
          </cell>
          <cell r="G45" t="str">
            <v>CAMPINAS</v>
          </cell>
          <cell r="H45" t="str">
            <v>SP INT CPN</v>
          </cell>
          <cell r="I45" t="str">
            <v>P</v>
          </cell>
          <cell r="J45">
            <v>3</v>
          </cell>
          <cell r="K45" t="str">
            <v>DIURNO</v>
          </cell>
          <cell r="L45" t="str">
            <v>IZABELA/THALIA</v>
          </cell>
          <cell r="M45" t="str">
            <v>NÃO</v>
          </cell>
          <cell r="N45" t="str">
            <v>NÃO</v>
          </cell>
        </row>
        <row r="46">
          <cell r="A46" t="str">
            <v>OXX1100337</v>
          </cell>
          <cell r="B46" t="str">
            <v>OXX</v>
          </cell>
          <cell r="C46">
            <v>1100337</v>
          </cell>
          <cell r="D46">
            <v>45140</v>
          </cell>
          <cell r="E46" t="str">
            <v>AV : ENG. CARLOS STEVENSON , 872</v>
          </cell>
          <cell r="F46" t="str">
            <v>NOVA CAMPINAS - DOM FRANCISCO</v>
          </cell>
          <cell r="G46" t="str">
            <v>CAMPINAS</v>
          </cell>
          <cell r="H46" t="str">
            <v>SP INT CPN</v>
          </cell>
          <cell r="I46" t="str">
            <v>P</v>
          </cell>
          <cell r="J46">
            <v>3</v>
          </cell>
          <cell r="K46" t="str">
            <v>DIURNO</v>
          </cell>
          <cell r="L46" t="str">
            <v>LEONARDO</v>
          </cell>
          <cell r="M46" t="str">
            <v>NÃO</v>
          </cell>
          <cell r="N46" t="str">
            <v>NÃO</v>
          </cell>
        </row>
        <row r="47">
          <cell r="A47" t="str">
            <v>OXX1101508</v>
          </cell>
          <cell r="B47" t="str">
            <v>OXX</v>
          </cell>
          <cell r="C47">
            <v>1101508</v>
          </cell>
          <cell r="D47">
            <v>45140</v>
          </cell>
          <cell r="E47" t="str">
            <v>RUA CESÁRIO MOTA , 166</v>
          </cell>
          <cell r="F47" t="str">
            <v>CENTRO - BANCO</v>
          </cell>
          <cell r="G47" t="str">
            <v>SOROCABA</v>
          </cell>
          <cell r="H47" t="str">
            <v>SP INT CPN</v>
          </cell>
          <cell r="I47" t="str">
            <v>P</v>
          </cell>
          <cell r="J47">
            <v>3</v>
          </cell>
          <cell r="K47" t="str">
            <v>DIURNO</v>
          </cell>
          <cell r="L47" t="str">
            <v>LETÍCIA/EVA</v>
          </cell>
          <cell r="M47" t="str">
            <v>UBER</v>
          </cell>
          <cell r="N47">
            <v>0.25</v>
          </cell>
        </row>
        <row r="48">
          <cell r="A48" t="str">
            <v>DSP529</v>
          </cell>
          <cell r="B48" t="str">
            <v>DSP</v>
          </cell>
          <cell r="C48">
            <v>529</v>
          </cell>
          <cell r="D48">
            <v>45140</v>
          </cell>
          <cell r="E48" t="str">
            <v>AV : DOS ESPORTES , 803</v>
          </cell>
          <cell r="F48" t="str">
            <v>VILA BISSOTO - 24h</v>
          </cell>
          <cell r="G48" t="str">
            <v>VALINHOS</v>
          </cell>
          <cell r="H48" t="str">
            <v>SP INT LIMEIRA</v>
          </cell>
          <cell r="I48" t="str">
            <v>T</v>
          </cell>
          <cell r="J48">
            <v>9</v>
          </cell>
          <cell r="K48" t="str">
            <v>APOIO LESTE</v>
          </cell>
          <cell r="L48" t="str">
            <v>EMERSON</v>
          </cell>
          <cell r="M48" t="str">
            <v>01 VAN</v>
          </cell>
          <cell r="N48">
            <v>0.77083333333333337</v>
          </cell>
        </row>
        <row r="49">
          <cell r="A49" t="str">
            <v>DSP545</v>
          </cell>
          <cell r="B49" t="str">
            <v>DSP</v>
          </cell>
          <cell r="C49">
            <v>545</v>
          </cell>
          <cell r="D49">
            <v>45140</v>
          </cell>
          <cell r="E49" t="str">
            <v>AV : RIO CLARO , 282 / 292</v>
          </cell>
          <cell r="F49" t="str">
            <v>VILA ANITA - 24h</v>
          </cell>
          <cell r="G49" t="str">
            <v>LIMEIRA</v>
          </cell>
          <cell r="H49" t="str">
            <v>SP INT LIMEIRA</v>
          </cell>
          <cell r="I49" t="str">
            <v>T</v>
          </cell>
          <cell r="J49">
            <v>14</v>
          </cell>
          <cell r="K49">
            <v>0</v>
          </cell>
          <cell r="L49" t="str">
            <v>GUSTAVO</v>
          </cell>
          <cell r="M49" t="str">
            <v>NÃO</v>
          </cell>
          <cell r="N49" t="str">
            <v>NÃO</v>
          </cell>
        </row>
        <row r="50">
          <cell r="A50" t="str">
            <v>CDG938</v>
          </cell>
          <cell r="B50" t="str">
            <v>CDG</v>
          </cell>
          <cell r="C50">
            <v>938</v>
          </cell>
          <cell r="D50">
            <v>45140</v>
          </cell>
          <cell r="E50" t="str">
            <v>AV : PAULO FACCINI , 240</v>
          </cell>
          <cell r="F50" t="str">
            <v>MACEDO - DUTRA</v>
          </cell>
          <cell r="G50" t="str">
            <v>GUARULHOS</v>
          </cell>
          <cell r="H50" t="str">
            <v>SP INT SJC</v>
          </cell>
          <cell r="I50" t="str">
            <v>T</v>
          </cell>
          <cell r="J50">
            <v>5</v>
          </cell>
          <cell r="K50">
            <v>0</v>
          </cell>
          <cell r="L50" t="str">
            <v>NATÁLIA</v>
          </cell>
          <cell r="M50" t="str">
            <v>02 VANS</v>
          </cell>
          <cell r="N50">
            <v>0.70833333333333337</v>
          </cell>
        </row>
        <row r="51">
          <cell r="A51" t="str">
            <v>CFO398</v>
          </cell>
          <cell r="B51" t="str">
            <v>CFO</v>
          </cell>
          <cell r="C51">
            <v>398</v>
          </cell>
          <cell r="D51">
            <v>45140</v>
          </cell>
          <cell r="E51" t="str">
            <v>AV : PAULO FACCINI , 240</v>
          </cell>
          <cell r="F51" t="str">
            <v>MACEDO - DUTRA</v>
          </cell>
          <cell r="G51" t="str">
            <v>GUARULHOS</v>
          </cell>
          <cell r="H51" t="str">
            <v>SP INT SJC</v>
          </cell>
          <cell r="I51" t="str">
            <v>PNA</v>
          </cell>
          <cell r="J51">
            <v>22</v>
          </cell>
          <cell r="K51">
            <v>0</v>
          </cell>
          <cell r="L51" t="str">
            <v>JAÍNE/FELIPE</v>
          </cell>
          <cell r="M51">
            <v>0</v>
          </cell>
          <cell r="N51">
            <v>0.70833333333333337</v>
          </cell>
        </row>
        <row r="52">
          <cell r="A52" t="str">
            <v>CDG862</v>
          </cell>
          <cell r="B52" t="str">
            <v>CDG</v>
          </cell>
          <cell r="C52">
            <v>862</v>
          </cell>
          <cell r="D52">
            <v>45140</v>
          </cell>
          <cell r="E52" t="str">
            <v>AV : MORVAN DIAS FIGUEIREDO , 3177</v>
          </cell>
          <cell r="F52" t="str">
            <v>VILA MARIA - TIETÊ</v>
          </cell>
          <cell r="G52" t="str">
            <v>SÃO PAULO</v>
          </cell>
          <cell r="H52" t="str">
            <v>SP LESTE</v>
          </cell>
          <cell r="I52" t="str">
            <v>T</v>
          </cell>
          <cell r="J52">
            <v>8</v>
          </cell>
          <cell r="K52">
            <v>0</v>
          </cell>
          <cell r="L52" t="str">
            <v>ELISABETE</v>
          </cell>
          <cell r="M52" t="str">
            <v>NÃO</v>
          </cell>
          <cell r="N52" t="str">
            <v>NÃO</v>
          </cell>
        </row>
        <row r="53">
          <cell r="A53" t="str">
            <v>CFO106</v>
          </cell>
          <cell r="B53" t="str">
            <v>CFO</v>
          </cell>
          <cell r="C53">
            <v>106</v>
          </cell>
          <cell r="D53">
            <v>45140</v>
          </cell>
          <cell r="E53" t="str">
            <v>AV : MORVAN DIAS FIGUEIREDO , 3177</v>
          </cell>
          <cell r="F53" t="str">
            <v>VILA MARIA - TIETÊ</v>
          </cell>
          <cell r="G53" t="str">
            <v>SÃO PAULO</v>
          </cell>
          <cell r="H53" t="str">
            <v>SP LESTE</v>
          </cell>
          <cell r="I53" t="str">
            <v>PNA</v>
          </cell>
          <cell r="J53">
            <v>32</v>
          </cell>
          <cell r="K53">
            <v>0</v>
          </cell>
          <cell r="L53" t="str">
            <v>LUANA/PATRÍCIA/LUÍS</v>
          </cell>
          <cell r="M53" t="str">
            <v>NÃO</v>
          </cell>
          <cell r="N53" t="str">
            <v>NÃO</v>
          </cell>
        </row>
        <row r="54">
          <cell r="A54" t="str">
            <v>DSP137</v>
          </cell>
          <cell r="B54" t="str">
            <v>DSP</v>
          </cell>
          <cell r="C54">
            <v>137</v>
          </cell>
          <cell r="D54">
            <v>45140</v>
          </cell>
          <cell r="E54" t="str">
            <v>AV : DOM PEDRO II , 563</v>
          </cell>
          <cell r="F54" t="str">
            <v>JARDIM - 24h</v>
          </cell>
          <cell r="G54" t="str">
            <v>SANTO ANDRÉ</v>
          </cell>
          <cell r="H54" t="str">
            <v>SP LESTE</v>
          </cell>
          <cell r="I54" t="str">
            <v>T</v>
          </cell>
          <cell r="J54">
            <v>11</v>
          </cell>
          <cell r="K54">
            <v>0</v>
          </cell>
          <cell r="L54" t="str">
            <v>JÉSSICA</v>
          </cell>
          <cell r="M54" t="str">
            <v>NÃO</v>
          </cell>
          <cell r="N54" t="str">
            <v>NÃO</v>
          </cell>
        </row>
        <row r="55">
          <cell r="A55" t="str">
            <v>DSP529</v>
          </cell>
          <cell r="B55" t="str">
            <v>DSP</v>
          </cell>
          <cell r="C55">
            <v>529</v>
          </cell>
          <cell r="D55">
            <v>45140</v>
          </cell>
          <cell r="E55" t="str">
            <v>AV : DOS ESPORTES , 803</v>
          </cell>
          <cell r="F55" t="str">
            <v>VILA BISSOTO - 24h</v>
          </cell>
          <cell r="G55" t="str">
            <v>VALINHOS</v>
          </cell>
          <cell r="H55" t="str">
            <v>SP LESTE</v>
          </cell>
          <cell r="I55" t="str">
            <v>APOIO</v>
          </cell>
          <cell r="J55">
            <v>4</v>
          </cell>
          <cell r="K55">
            <v>0</v>
          </cell>
          <cell r="L55" t="str">
            <v>A DEFINIR</v>
          </cell>
          <cell r="M55" t="str">
            <v>01 CARRO ( LÁZARO )</v>
          </cell>
          <cell r="N55">
            <v>0.75</v>
          </cell>
        </row>
        <row r="56">
          <cell r="A56" t="str">
            <v>DSP559</v>
          </cell>
          <cell r="B56" t="str">
            <v>DSP</v>
          </cell>
          <cell r="C56">
            <v>559</v>
          </cell>
          <cell r="D56">
            <v>45140</v>
          </cell>
          <cell r="E56" t="str">
            <v>AV : OTÁVIO BRAGA DE MESQUITA , 1819</v>
          </cell>
          <cell r="F56" t="str">
            <v>VILA FLÓRIDA - 24h</v>
          </cell>
          <cell r="G56" t="str">
            <v>GUARULHOS</v>
          </cell>
          <cell r="H56" t="str">
            <v>SP LESTE</v>
          </cell>
          <cell r="I56" t="str">
            <v>T</v>
          </cell>
          <cell r="J56">
            <v>13</v>
          </cell>
          <cell r="K56">
            <v>0</v>
          </cell>
          <cell r="L56" t="str">
            <v>MARCELO</v>
          </cell>
          <cell r="M56" t="str">
            <v>01 VAN</v>
          </cell>
          <cell r="N56">
            <v>0.77083333333333337</v>
          </cell>
        </row>
        <row r="57">
          <cell r="A57" t="str">
            <v>PMO36</v>
          </cell>
          <cell r="B57" t="str">
            <v>PMO</v>
          </cell>
          <cell r="C57">
            <v>36</v>
          </cell>
          <cell r="D57">
            <v>45140</v>
          </cell>
          <cell r="E57" t="str">
            <v>AV : SAPOPEMBA , 8491</v>
          </cell>
          <cell r="F57" t="str">
            <v>JD. ADUTORA</v>
          </cell>
          <cell r="G57" t="str">
            <v>SÃO PAULO</v>
          </cell>
          <cell r="H57" t="str">
            <v>SP LESTE</v>
          </cell>
          <cell r="I57" t="str">
            <v>T</v>
          </cell>
          <cell r="J57">
            <v>5</v>
          </cell>
          <cell r="K57">
            <v>0</v>
          </cell>
          <cell r="L57" t="str">
            <v>TAMIRES</v>
          </cell>
          <cell r="M57" t="str">
            <v>NÃO</v>
          </cell>
          <cell r="N57" t="str">
            <v>NÃO</v>
          </cell>
        </row>
        <row r="58">
          <cell r="A58" t="str">
            <v>OXX1093232</v>
          </cell>
          <cell r="B58" t="str">
            <v>OXX</v>
          </cell>
          <cell r="C58">
            <v>1093232</v>
          </cell>
          <cell r="D58">
            <v>45140</v>
          </cell>
          <cell r="E58" t="str">
            <v xml:space="preserve">RUA AUGUSTA , 2282 </v>
          </cell>
          <cell r="F58" t="str">
            <v>JD. PAULISTA - AUGUSTA FRANCA</v>
          </cell>
          <cell r="G58" t="str">
            <v>SÃO PAULO</v>
          </cell>
          <cell r="H58" t="str">
            <v>SP LESTE X</v>
          </cell>
          <cell r="I58" t="str">
            <v>P</v>
          </cell>
          <cell r="J58">
            <v>3</v>
          </cell>
          <cell r="K58" t="str">
            <v>DIURNO</v>
          </cell>
          <cell r="L58" t="str">
            <v>CÁSSIA/ARTHUR</v>
          </cell>
          <cell r="M58" t="str">
            <v>NÃO</v>
          </cell>
          <cell r="N58" t="str">
            <v>NÃO</v>
          </cell>
        </row>
        <row r="59">
          <cell r="A59" t="str">
            <v>OXX1093747</v>
          </cell>
          <cell r="B59" t="str">
            <v>OXX</v>
          </cell>
          <cell r="C59">
            <v>1093747</v>
          </cell>
          <cell r="D59">
            <v>45140</v>
          </cell>
          <cell r="E59" t="str">
            <v>AV : IPIRANGA , 1129</v>
          </cell>
          <cell r="F59" t="str">
            <v>REPÚBLICA - FLEMMING</v>
          </cell>
          <cell r="G59" t="str">
            <v>SÃO PAULO</v>
          </cell>
          <cell r="H59" t="str">
            <v>SP LESTE X</v>
          </cell>
          <cell r="I59" t="str">
            <v>P</v>
          </cell>
          <cell r="J59">
            <v>3</v>
          </cell>
          <cell r="K59" t="str">
            <v>DIURNO</v>
          </cell>
          <cell r="L59" t="str">
            <v>JOSÉ WELVYS/KAIQUE</v>
          </cell>
          <cell r="M59" t="str">
            <v>NÃO</v>
          </cell>
          <cell r="N59" t="str">
            <v>NÃO</v>
          </cell>
        </row>
        <row r="60">
          <cell r="A60" t="str">
            <v>OXX1099729</v>
          </cell>
          <cell r="B60" t="str">
            <v>OXX</v>
          </cell>
          <cell r="C60">
            <v>1099729</v>
          </cell>
          <cell r="D60">
            <v>45140</v>
          </cell>
          <cell r="E60" t="str">
            <v>PRAÇA ANTÔNIO CÂNDIDO DE CAMARGO , 14</v>
          </cell>
          <cell r="F60" t="str">
            <v>BARRA FUNDA - CIOLE</v>
          </cell>
          <cell r="G60" t="str">
            <v>SÃO PAULO</v>
          </cell>
          <cell r="H60" t="str">
            <v>SP LESTE X</v>
          </cell>
          <cell r="I60" t="str">
            <v>P</v>
          </cell>
          <cell r="J60">
            <v>3</v>
          </cell>
          <cell r="K60" t="str">
            <v>DIURNO</v>
          </cell>
          <cell r="L60" t="str">
            <v>LARISSA</v>
          </cell>
          <cell r="M60" t="str">
            <v>NÃO</v>
          </cell>
          <cell r="N60" t="str">
            <v>NÃO</v>
          </cell>
        </row>
        <row r="61">
          <cell r="A61" t="str">
            <v>OXX1099758</v>
          </cell>
          <cell r="B61" t="str">
            <v>OXX</v>
          </cell>
          <cell r="C61">
            <v>1099758</v>
          </cell>
          <cell r="D61">
            <v>45140</v>
          </cell>
          <cell r="E61" t="str">
            <v>AV : SALGADO FILHO , 3143</v>
          </cell>
          <cell r="F61" t="str">
            <v>CENTRO - JOVITA II</v>
          </cell>
          <cell r="G61" t="str">
            <v>GUARULHOS</v>
          </cell>
          <cell r="H61" t="str">
            <v>SP LESTE X</v>
          </cell>
          <cell r="I61" t="str">
            <v>P</v>
          </cell>
          <cell r="J61">
            <v>3</v>
          </cell>
          <cell r="K61" t="str">
            <v>DIURNO</v>
          </cell>
          <cell r="L61" t="str">
            <v>GAMA</v>
          </cell>
          <cell r="M61" t="str">
            <v>UBER</v>
          </cell>
          <cell r="N61">
            <v>0.29166666666666669</v>
          </cell>
        </row>
        <row r="62">
          <cell r="A62" t="str">
            <v>OXX1100094</v>
          </cell>
          <cell r="B62" t="str">
            <v>OXX</v>
          </cell>
          <cell r="C62">
            <v>1100094</v>
          </cell>
          <cell r="D62">
            <v>45140</v>
          </cell>
          <cell r="E62" t="str">
            <v>RUA CAP. PACHECO E CHAVES , 1238</v>
          </cell>
          <cell r="F62" t="str">
            <v>VILA PRUDENTE - PACHECO</v>
          </cell>
          <cell r="G62" t="str">
            <v>SÃO PAULO</v>
          </cell>
          <cell r="H62" t="str">
            <v>SP LESTE X</v>
          </cell>
          <cell r="I62" t="str">
            <v>P</v>
          </cell>
          <cell r="J62">
            <v>3</v>
          </cell>
          <cell r="K62" t="str">
            <v>DIURNO</v>
          </cell>
          <cell r="L62" t="str">
            <v>ANDERSON/JOYCE</v>
          </cell>
          <cell r="M62" t="str">
            <v>NÃO</v>
          </cell>
          <cell r="N62" t="str">
            <v>NÃO</v>
          </cell>
        </row>
        <row r="63">
          <cell r="A63" t="str">
            <v>CDG897</v>
          </cell>
          <cell r="B63" t="str">
            <v>CDG</v>
          </cell>
          <cell r="C63">
            <v>897</v>
          </cell>
          <cell r="D63">
            <v>45140</v>
          </cell>
          <cell r="E63" t="str">
            <v>AV : DOM PEDRO I , 2131</v>
          </cell>
          <cell r="F63" t="str">
            <v>JD. BELMAR</v>
          </cell>
          <cell r="G63" t="str">
            <v>GUARUJÁ</v>
          </cell>
          <cell r="H63" t="str">
            <v>SP SUL</v>
          </cell>
          <cell r="I63" t="str">
            <v>T</v>
          </cell>
          <cell r="J63">
            <v>7</v>
          </cell>
          <cell r="K63">
            <v>0</v>
          </cell>
          <cell r="L63" t="str">
            <v>ELAINE</v>
          </cell>
          <cell r="M63" t="str">
            <v>02 VANS</v>
          </cell>
          <cell r="N63">
            <v>0.66666666666666663</v>
          </cell>
        </row>
        <row r="64">
          <cell r="A64" t="str">
            <v>CFO440</v>
          </cell>
          <cell r="B64" t="str">
            <v>CFO</v>
          </cell>
          <cell r="C64">
            <v>440</v>
          </cell>
          <cell r="D64">
            <v>45140</v>
          </cell>
          <cell r="E64" t="str">
            <v>AV : DOM PEDRO I , 2131</v>
          </cell>
          <cell r="F64" t="str">
            <v>JD. BELMAR</v>
          </cell>
          <cell r="G64" t="str">
            <v>GUARUJÁ</v>
          </cell>
          <cell r="H64" t="str">
            <v>SP SUL</v>
          </cell>
          <cell r="I64" t="str">
            <v>PNA</v>
          </cell>
          <cell r="J64">
            <v>18</v>
          </cell>
          <cell r="K64">
            <v>0</v>
          </cell>
          <cell r="L64" t="str">
            <v>VIANA/RUAN</v>
          </cell>
          <cell r="M64">
            <v>0</v>
          </cell>
          <cell r="N64">
            <v>0.66666666666666663</v>
          </cell>
        </row>
        <row r="65">
          <cell r="A65" t="str">
            <v>CFX587</v>
          </cell>
          <cell r="B65" t="str">
            <v>CFX</v>
          </cell>
          <cell r="C65">
            <v>587</v>
          </cell>
          <cell r="D65">
            <v>45140</v>
          </cell>
          <cell r="E65" t="str">
            <v>RUA JOÃO CACHOEIRA , 361</v>
          </cell>
          <cell r="F65" t="str">
            <v>VILA NOVA CONCEIÇÃO</v>
          </cell>
          <cell r="G65" t="str">
            <v>SÃO PAULO</v>
          </cell>
          <cell r="H65" t="str">
            <v>SP SUL</v>
          </cell>
          <cell r="I65" t="str">
            <v>T</v>
          </cell>
          <cell r="J65">
            <v>6</v>
          </cell>
          <cell r="K65">
            <v>0</v>
          </cell>
          <cell r="L65" t="str">
            <v>CARLOS/GLEDSON</v>
          </cell>
          <cell r="M65" t="str">
            <v>NÃO</v>
          </cell>
          <cell r="N65" t="str">
            <v>NÃO</v>
          </cell>
        </row>
        <row r="66">
          <cell r="A66" t="str">
            <v>DSP484</v>
          </cell>
          <cell r="B66" t="str">
            <v>DSP</v>
          </cell>
          <cell r="C66">
            <v>484</v>
          </cell>
          <cell r="D66">
            <v>45140</v>
          </cell>
          <cell r="E66" t="str">
            <v>AV : IBIRAPUERA , 3103</v>
          </cell>
          <cell r="F66" t="str">
            <v>SHOPPING IBIRAPUERA</v>
          </cell>
          <cell r="G66" t="str">
            <v>SÃO PAULO</v>
          </cell>
          <cell r="H66" t="str">
            <v>SP SUL</v>
          </cell>
          <cell r="I66" t="str">
            <v>T</v>
          </cell>
          <cell r="J66">
            <v>11</v>
          </cell>
          <cell r="K66">
            <v>0</v>
          </cell>
          <cell r="L66" t="str">
            <v>JUSCELINO</v>
          </cell>
          <cell r="M66" t="str">
            <v>NÃO</v>
          </cell>
          <cell r="N66" t="str">
            <v>NÃO</v>
          </cell>
        </row>
        <row r="67">
          <cell r="A67" t="str">
            <v>PMO47</v>
          </cell>
          <cell r="B67" t="str">
            <v>PMO</v>
          </cell>
          <cell r="C67">
            <v>47</v>
          </cell>
          <cell r="D67">
            <v>45140</v>
          </cell>
          <cell r="E67" t="str">
            <v>ESTRADA DE ITAPECERICA , 8892</v>
          </cell>
          <cell r="F67" t="str">
            <v>PQ. FERNANDA</v>
          </cell>
          <cell r="G67" t="str">
            <v>SÃO PAULO</v>
          </cell>
          <cell r="H67" t="str">
            <v>SP SUL</v>
          </cell>
          <cell r="I67" t="str">
            <v>T</v>
          </cell>
          <cell r="J67">
            <v>5</v>
          </cell>
          <cell r="K67">
            <v>0</v>
          </cell>
          <cell r="L67" t="str">
            <v>FERNANDO/DÉBORA</v>
          </cell>
          <cell r="M67" t="str">
            <v>NÃO</v>
          </cell>
          <cell r="N67" t="str">
            <v>NÃO</v>
          </cell>
        </row>
        <row r="68">
          <cell r="A68" t="str">
            <v>PVI782</v>
          </cell>
          <cell r="B68" t="str">
            <v>PVI</v>
          </cell>
          <cell r="C68">
            <v>782</v>
          </cell>
          <cell r="D68">
            <v>45140</v>
          </cell>
          <cell r="E68" t="str">
            <v>RUA OSCAR FREIRE , 958 - CERQUEIRA CÉSAR</v>
          </cell>
          <cell r="F68" t="str">
            <v>OSCAR FREIRE - RUA</v>
          </cell>
          <cell r="G68" t="str">
            <v>SÃO PAULO</v>
          </cell>
          <cell r="H68" t="str">
            <v>SP SUL</v>
          </cell>
          <cell r="I68" t="str">
            <v>T</v>
          </cell>
          <cell r="J68">
            <v>7</v>
          </cell>
          <cell r="K68">
            <v>0</v>
          </cell>
          <cell r="L68" t="str">
            <v>YGOR</v>
          </cell>
          <cell r="M68" t="str">
            <v>NÃO</v>
          </cell>
          <cell r="N68" t="str">
            <v>NÃO</v>
          </cell>
        </row>
        <row r="69">
          <cell r="A69" t="str">
            <v>OXX1093948</v>
          </cell>
          <cell r="B69" t="str">
            <v>OXX</v>
          </cell>
          <cell r="C69">
            <v>1093948</v>
          </cell>
          <cell r="D69">
            <v>45140</v>
          </cell>
          <cell r="E69" t="str">
            <v>RUA THOMÁS DELONEY , 372</v>
          </cell>
          <cell r="F69" t="str">
            <v>SANTO AMARO - DELONEY</v>
          </cell>
          <cell r="G69" t="str">
            <v>SÃO PAULO</v>
          </cell>
          <cell r="H69" t="str">
            <v>SP SUL X</v>
          </cell>
          <cell r="I69" t="str">
            <v>P</v>
          </cell>
          <cell r="J69">
            <v>3</v>
          </cell>
          <cell r="K69" t="str">
            <v>DIURNO</v>
          </cell>
          <cell r="L69" t="str">
            <v>CLAUDIA</v>
          </cell>
          <cell r="M69" t="str">
            <v>NÃO</v>
          </cell>
          <cell r="N69" t="str">
            <v>NÃO</v>
          </cell>
        </row>
        <row r="70">
          <cell r="A70" t="str">
            <v>OXX1094331</v>
          </cell>
          <cell r="B70" t="str">
            <v>OXX</v>
          </cell>
          <cell r="C70">
            <v>1094331</v>
          </cell>
          <cell r="D70">
            <v>45140</v>
          </cell>
          <cell r="E70" t="str">
            <v>AV : MARTIN LUTHER KING , 2564 - CID. SÃO FRANCISCO</v>
          </cell>
          <cell r="F70" t="str">
            <v>DIVISA OSASCO</v>
          </cell>
          <cell r="G70" t="str">
            <v>SÃO PAULO</v>
          </cell>
          <cell r="H70" t="str">
            <v>SP SUL X</v>
          </cell>
          <cell r="I70" t="str">
            <v>P</v>
          </cell>
          <cell r="J70">
            <v>3</v>
          </cell>
          <cell r="K70" t="str">
            <v>DIURNO</v>
          </cell>
          <cell r="L70" t="str">
            <v>FLAVIA</v>
          </cell>
          <cell r="M70" t="str">
            <v>NÃO</v>
          </cell>
          <cell r="N70" t="str">
            <v>NÃO</v>
          </cell>
        </row>
        <row r="71">
          <cell r="A71" t="str">
            <v>OXX1096603</v>
          </cell>
          <cell r="B71" t="str">
            <v>OXX</v>
          </cell>
          <cell r="C71">
            <v>1096603</v>
          </cell>
          <cell r="D71">
            <v>45140</v>
          </cell>
          <cell r="E71" t="str">
            <v>AV : BRIG. FARIA LIMA , 1974</v>
          </cell>
          <cell r="F71" t="str">
            <v>JD. PAULISTANO - CAMPO VERDE</v>
          </cell>
          <cell r="G71" t="str">
            <v>SÃO PAULO</v>
          </cell>
          <cell r="H71" t="str">
            <v>SP SUL X</v>
          </cell>
          <cell r="I71" t="str">
            <v>P</v>
          </cell>
          <cell r="J71">
            <v>3</v>
          </cell>
          <cell r="K71" t="str">
            <v>DIURNO</v>
          </cell>
          <cell r="L71" t="str">
            <v>RAYANE</v>
          </cell>
          <cell r="M71" t="str">
            <v>NÃO</v>
          </cell>
          <cell r="N71" t="str">
            <v>NÃO</v>
          </cell>
        </row>
        <row r="72">
          <cell r="A72" t="str">
            <v>OXX1096626</v>
          </cell>
          <cell r="B72" t="str">
            <v>OXX</v>
          </cell>
          <cell r="C72">
            <v>1096626</v>
          </cell>
          <cell r="D72">
            <v>45140</v>
          </cell>
          <cell r="E72" t="str">
            <v>RUA IPANEMA , 239</v>
          </cell>
          <cell r="F72" t="str">
            <v>ANCHIETA - IPANEMA</v>
          </cell>
          <cell r="G72" t="str">
            <v>SÃO BERNARDO DO CAMPO</v>
          </cell>
          <cell r="H72" t="str">
            <v>SP SUL X</v>
          </cell>
          <cell r="I72" t="str">
            <v>P</v>
          </cell>
          <cell r="J72">
            <v>3</v>
          </cell>
          <cell r="K72" t="str">
            <v>DIURNO</v>
          </cell>
          <cell r="L72" t="str">
            <v>ANDRÉ</v>
          </cell>
          <cell r="M72" t="str">
            <v>UBER</v>
          </cell>
          <cell r="N72">
            <v>0.3125</v>
          </cell>
        </row>
        <row r="73">
          <cell r="A73" t="str">
            <v>OXX1099219</v>
          </cell>
          <cell r="B73" t="str">
            <v>OXX</v>
          </cell>
          <cell r="C73">
            <v>1099219</v>
          </cell>
          <cell r="D73">
            <v>45140</v>
          </cell>
          <cell r="E73" t="str">
            <v>RUA QUATÁ , 399</v>
          </cell>
          <cell r="F73" t="str">
            <v>VILA OLÍMPIA - QUANTINSPER</v>
          </cell>
          <cell r="G73" t="str">
            <v>SÃO PAULO</v>
          </cell>
          <cell r="H73" t="str">
            <v>SP SUL X</v>
          </cell>
          <cell r="I73" t="str">
            <v>P</v>
          </cell>
          <cell r="J73">
            <v>3</v>
          </cell>
          <cell r="K73" t="str">
            <v>DIURNO</v>
          </cell>
          <cell r="L73" t="str">
            <v>JÉSSICA</v>
          </cell>
          <cell r="M73" t="str">
            <v>NÃO</v>
          </cell>
          <cell r="N73" t="str">
            <v>NÃO</v>
          </cell>
        </row>
        <row r="74">
          <cell r="A74" t="str">
            <v>OXX1100270</v>
          </cell>
          <cell r="B74" t="str">
            <v>OXX</v>
          </cell>
          <cell r="C74">
            <v>1100270</v>
          </cell>
          <cell r="D74">
            <v>45140</v>
          </cell>
          <cell r="E74" t="str">
            <v>AV : JOÃO PEDRO CARDOSO , 140</v>
          </cell>
          <cell r="F74" t="str">
            <v>PQ. JABAQUARA - QUEIXADA</v>
          </cell>
          <cell r="G74" t="str">
            <v>SÃO PAULO</v>
          </cell>
          <cell r="H74" t="str">
            <v>SP SUL X</v>
          </cell>
          <cell r="I74" t="str">
            <v>P</v>
          </cell>
          <cell r="J74">
            <v>3</v>
          </cell>
          <cell r="K74" t="str">
            <v>DIURNO</v>
          </cell>
          <cell r="L74" t="str">
            <v>NATHALIA</v>
          </cell>
          <cell r="M74" t="str">
            <v>NÃO</v>
          </cell>
          <cell r="N74" t="str">
            <v>NÃO</v>
          </cell>
        </row>
        <row r="75">
          <cell r="A75" t="str">
            <v/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 t="str">
            <v>Total</v>
          </cell>
          <cell r="J75">
            <v>297</v>
          </cell>
          <cell r="K75">
            <v>293</v>
          </cell>
          <cell r="L75">
            <v>0</v>
          </cell>
          <cell r="M75">
            <v>0</v>
          </cell>
          <cell r="N75">
            <v>0</v>
          </cell>
        </row>
        <row r="76">
          <cell r="A76" t="str">
            <v/>
          </cell>
          <cell r="B76">
            <v>0</v>
          </cell>
          <cell r="C76">
            <v>0</v>
          </cell>
          <cell r="D76">
            <v>0</v>
          </cell>
          <cell r="E76">
            <v>45141</v>
          </cell>
          <cell r="F76" t="str">
            <v>QUINTA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A77" t="str">
            <v>NAC1541</v>
          </cell>
          <cell r="B77" t="str">
            <v>NAC</v>
          </cell>
          <cell r="C77">
            <v>1541</v>
          </cell>
          <cell r="D77">
            <v>45141</v>
          </cell>
          <cell r="E77" t="str">
            <v>RUA GOMES DE FREITAS , 73</v>
          </cell>
          <cell r="F77" t="str">
            <v>SABARÁ</v>
          </cell>
          <cell r="G77" t="str">
            <v>PORTO ALEGRE</v>
          </cell>
          <cell r="H77" t="str">
            <v>PORTO ALEGRE</v>
          </cell>
          <cell r="I77" t="str">
            <v>T</v>
          </cell>
          <cell r="J77">
            <v>11</v>
          </cell>
          <cell r="K77">
            <v>0</v>
          </cell>
          <cell r="L77" t="str">
            <v>PAVAN</v>
          </cell>
          <cell r="M77" t="str">
            <v>NÃO</v>
          </cell>
          <cell r="N77" t="str">
            <v>NÃO</v>
          </cell>
        </row>
        <row r="78">
          <cell r="A78" t="str">
            <v>PVI863</v>
          </cell>
          <cell r="B78" t="str">
            <v>PVI</v>
          </cell>
          <cell r="C78">
            <v>863</v>
          </cell>
          <cell r="D78">
            <v>45141</v>
          </cell>
          <cell r="E78" t="str">
            <v>AV : JOÃO WALLIG , 1800 - PASSO D´AREIA</v>
          </cell>
          <cell r="F78" t="str">
            <v>SHOPPING IGUATEMI PORTO ALEGRE</v>
          </cell>
          <cell r="G78" t="str">
            <v>PORTO ALEGRE</v>
          </cell>
          <cell r="H78" t="str">
            <v>PORTO ALEGRE</v>
          </cell>
          <cell r="I78" t="str">
            <v>T</v>
          </cell>
          <cell r="J78">
            <v>4</v>
          </cell>
          <cell r="K78">
            <v>0</v>
          </cell>
          <cell r="L78" t="str">
            <v>HEVERTON</v>
          </cell>
          <cell r="M78" t="str">
            <v>NÃO</v>
          </cell>
          <cell r="N78" t="str">
            <v>NÃO</v>
          </cell>
        </row>
        <row r="79">
          <cell r="A79" t="str">
            <v>TDI1326</v>
          </cell>
          <cell r="B79" t="str">
            <v>TDI</v>
          </cell>
          <cell r="C79">
            <v>1326</v>
          </cell>
          <cell r="D79">
            <v>45141</v>
          </cell>
          <cell r="E79" t="str">
            <v>AV : ARCHELAU DE ALMEIDA TORRES , 1515</v>
          </cell>
          <cell r="F79" t="str">
            <v>IGUAÇU</v>
          </cell>
          <cell r="G79" t="str">
            <v>ARAUCÁRIA</v>
          </cell>
          <cell r="H79" t="str">
            <v>PR CURITIBA</v>
          </cell>
          <cell r="I79" t="str">
            <v>T</v>
          </cell>
          <cell r="J79">
            <v>8</v>
          </cell>
          <cell r="K79">
            <v>0</v>
          </cell>
          <cell r="L79" t="str">
            <v>HENRIQUE</v>
          </cell>
          <cell r="M79" t="str">
            <v>01 VAN</v>
          </cell>
          <cell r="N79">
            <v>0.72916666666666663</v>
          </cell>
        </row>
        <row r="80">
          <cell r="A80" t="str">
            <v>VVE18</v>
          </cell>
          <cell r="B80" t="str">
            <v>VVE</v>
          </cell>
          <cell r="C80">
            <v>18</v>
          </cell>
          <cell r="D80">
            <v>45141</v>
          </cell>
          <cell r="E80" t="str">
            <v xml:space="preserve">AV : HIGIENÓPOLIS , 2657 </v>
          </cell>
          <cell r="F80" t="str">
            <v>CENTRO</v>
          </cell>
          <cell r="G80" t="str">
            <v>LONDRINA</v>
          </cell>
          <cell r="H80" t="str">
            <v>PR LONDRINA</v>
          </cell>
          <cell r="I80" t="str">
            <v>T</v>
          </cell>
          <cell r="J80">
            <v>4</v>
          </cell>
          <cell r="K80">
            <v>0</v>
          </cell>
          <cell r="L80" t="str">
            <v>MARIANA</v>
          </cell>
          <cell r="M80" t="str">
            <v>NÃO</v>
          </cell>
          <cell r="N80" t="str">
            <v>NÃO</v>
          </cell>
        </row>
        <row r="81">
          <cell r="A81" t="str">
            <v>EXS2425</v>
          </cell>
          <cell r="B81" t="str">
            <v>EXS</v>
          </cell>
          <cell r="C81">
            <v>2425</v>
          </cell>
          <cell r="D81">
            <v>45141</v>
          </cell>
          <cell r="E81" t="str">
            <v>AV : JOSÉ BENTO RIBEIRO DANTAS , 1313</v>
          </cell>
          <cell r="F81" t="str">
            <v>CABANAS</v>
          </cell>
          <cell r="G81" t="str">
            <v>ARMAÇÃO DOS BÚZIOS</v>
          </cell>
          <cell r="H81" t="str">
            <v>RJ</v>
          </cell>
          <cell r="I81" t="str">
            <v>T</v>
          </cell>
          <cell r="J81">
            <v>28</v>
          </cell>
          <cell r="K81">
            <v>0</v>
          </cell>
          <cell r="L81" t="str">
            <v>ANTÔNIO</v>
          </cell>
          <cell r="M81" t="str">
            <v>02 VANS</v>
          </cell>
          <cell r="N81">
            <v>0.66666666666666663</v>
          </cell>
        </row>
        <row r="82">
          <cell r="A82" t="str">
            <v>SAM4033</v>
          </cell>
          <cell r="B82" t="str">
            <v>SAM</v>
          </cell>
          <cell r="C82">
            <v>4033</v>
          </cell>
          <cell r="D82">
            <v>45141</v>
          </cell>
          <cell r="E82" t="str">
            <v>RUA CHAIM MAUAD , 2100</v>
          </cell>
          <cell r="F82" t="str">
            <v>VILA REGINA</v>
          </cell>
          <cell r="G82" t="str">
            <v>BAURU</v>
          </cell>
          <cell r="H82" t="str">
            <v>SP INT BAURU</v>
          </cell>
          <cell r="I82" t="str">
            <v>T</v>
          </cell>
          <cell r="J82">
            <v>35</v>
          </cell>
          <cell r="K82" t="str">
            <v>APOIO LIMEIRA</v>
          </cell>
          <cell r="L82" t="str">
            <v>ROSÂNGELA</v>
          </cell>
          <cell r="M82" t="str">
            <v>NÃO</v>
          </cell>
          <cell r="N82" t="str">
            <v>NÃO</v>
          </cell>
        </row>
        <row r="83">
          <cell r="A83" t="str">
            <v>OXX1090606</v>
          </cell>
          <cell r="B83" t="str">
            <v>OXX</v>
          </cell>
          <cell r="C83">
            <v>1090606</v>
          </cell>
          <cell r="D83">
            <v>45141</v>
          </cell>
          <cell r="E83" t="str">
            <v xml:space="preserve">RUA DONA UMBELINA COUTO , 326 </v>
          </cell>
          <cell r="F83" t="str">
            <v>GUANABARA - LICEU</v>
          </cell>
          <cell r="G83" t="str">
            <v>CAMPINAS</v>
          </cell>
          <cell r="H83" t="str">
            <v>SP INT CPN</v>
          </cell>
          <cell r="I83" t="str">
            <v>P</v>
          </cell>
          <cell r="J83">
            <v>3</v>
          </cell>
          <cell r="K83" t="str">
            <v>DIURNO</v>
          </cell>
          <cell r="L83" t="str">
            <v>LEONARDO</v>
          </cell>
          <cell r="M83" t="str">
            <v>NÃO</v>
          </cell>
          <cell r="N83" t="str">
            <v>NÃO</v>
          </cell>
        </row>
        <row r="84">
          <cell r="A84" t="str">
            <v>OXX1096609</v>
          </cell>
          <cell r="B84" t="str">
            <v>OXX</v>
          </cell>
          <cell r="C84">
            <v>1096609</v>
          </cell>
          <cell r="D84">
            <v>45141</v>
          </cell>
          <cell r="E84" t="str">
            <v xml:space="preserve">RUA MANOEL FRANCISCO MONTEIRO , 279 </v>
          </cell>
          <cell r="F84" t="str">
            <v>PQ. INDUSTRIAL - MARIA AMÉLIA</v>
          </cell>
          <cell r="G84" t="str">
            <v>CAMPINAS</v>
          </cell>
          <cell r="H84" t="str">
            <v>SP INT CPN</v>
          </cell>
          <cell r="I84" t="str">
            <v>P</v>
          </cell>
          <cell r="J84">
            <v>3</v>
          </cell>
          <cell r="K84" t="str">
            <v>DIURNO</v>
          </cell>
          <cell r="L84" t="str">
            <v>IZABELA/THALIA</v>
          </cell>
          <cell r="M84" t="str">
            <v>NÃO</v>
          </cell>
          <cell r="N84" t="str">
            <v>NÃO</v>
          </cell>
        </row>
        <row r="85">
          <cell r="A85" t="str">
            <v>OXX1100482</v>
          </cell>
          <cell r="B85" t="str">
            <v>OXX</v>
          </cell>
          <cell r="C85">
            <v>1100482</v>
          </cell>
          <cell r="D85">
            <v>45141</v>
          </cell>
          <cell r="E85" t="str">
            <v>RUA URUGUAIANA , 493</v>
          </cell>
          <cell r="F85" t="str">
            <v>BOSQUE - URUGUAIANA</v>
          </cell>
          <cell r="G85" t="str">
            <v>CAMPINAS</v>
          </cell>
          <cell r="H85" t="str">
            <v>SP INT CPN</v>
          </cell>
          <cell r="I85" t="str">
            <v>P</v>
          </cell>
          <cell r="J85">
            <v>3</v>
          </cell>
          <cell r="K85" t="str">
            <v>DIURNO</v>
          </cell>
          <cell r="L85" t="str">
            <v>LETÍCIA/EVA</v>
          </cell>
          <cell r="M85" t="str">
            <v>NÃO</v>
          </cell>
          <cell r="N85" t="str">
            <v>NÃO</v>
          </cell>
        </row>
        <row r="86">
          <cell r="A86" t="str">
            <v>DSP607</v>
          </cell>
          <cell r="B86" t="str">
            <v>DSP</v>
          </cell>
          <cell r="C86">
            <v>607</v>
          </cell>
          <cell r="D86">
            <v>45141</v>
          </cell>
          <cell r="E86" t="str">
            <v>RUA PADRE ROQUE , 298</v>
          </cell>
          <cell r="F86" t="str">
            <v>CENTRO</v>
          </cell>
          <cell r="G86" t="str">
            <v>MOGI MIRIM</v>
          </cell>
          <cell r="H86" t="str">
            <v>SP INT LIMEIRA</v>
          </cell>
          <cell r="I86" t="str">
            <v>T</v>
          </cell>
          <cell r="J86">
            <v>12</v>
          </cell>
          <cell r="K86">
            <v>0</v>
          </cell>
          <cell r="L86" t="str">
            <v>EMERSON</v>
          </cell>
          <cell r="M86" t="str">
            <v>01 VAN</v>
          </cell>
          <cell r="N86">
            <v>0.77083333333333337</v>
          </cell>
        </row>
        <row r="87">
          <cell r="A87" t="str">
            <v>SAM4033</v>
          </cell>
          <cell r="B87" t="str">
            <v>SAM</v>
          </cell>
          <cell r="C87">
            <v>4033</v>
          </cell>
          <cell r="D87">
            <v>45141</v>
          </cell>
          <cell r="E87" t="str">
            <v>RUA CHAIM MAUAD , 2100</v>
          </cell>
          <cell r="F87" t="str">
            <v>VILA REGINA</v>
          </cell>
          <cell r="G87" t="str">
            <v>BAURU</v>
          </cell>
          <cell r="H87" t="str">
            <v>SP INT LIMEIRA</v>
          </cell>
          <cell r="I87" t="str">
            <v>APOIO</v>
          </cell>
          <cell r="J87">
            <v>10</v>
          </cell>
          <cell r="K87">
            <v>0</v>
          </cell>
          <cell r="L87" t="str">
            <v>GUSTAVO</v>
          </cell>
          <cell r="M87" t="str">
            <v>01 VAN</v>
          </cell>
          <cell r="N87">
            <v>0.66666666666666663</v>
          </cell>
        </row>
        <row r="88">
          <cell r="A88" t="str">
            <v>DSP313</v>
          </cell>
          <cell r="B88" t="str">
            <v>DSP</v>
          </cell>
          <cell r="C88">
            <v>313</v>
          </cell>
          <cell r="D88">
            <v>45141</v>
          </cell>
          <cell r="E88" t="str">
            <v>RUA FRANCISCO BARRETO LEME , 811</v>
          </cell>
          <cell r="F88" t="str">
            <v>AREÃO - 24h</v>
          </cell>
          <cell r="G88" t="str">
            <v>TAUBATÉ</v>
          </cell>
          <cell r="H88" t="str">
            <v>SP INT SJC</v>
          </cell>
          <cell r="I88" t="str">
            <v>T</v>
          </cell>
          <cell r="J88">
            <v>12</v>
          </cell>
          <cell r="K88">
            <v>0</v>
          </cell>
          <cell r="L88" t="str">
            <v>JAÍNE/BRUNA</v>
          </cell>
          <cell r="M88" t="str">
            <v>01 VAN</v>
          </cell>
          <cell r="N88">
            <v>0.75</v>
          </cell>
        </row>
        <row r="89">
          <cell r="A89" t="str">
            <v>PEN150</v>
          </cell>
          <cell r="B89" t="str">
            <v>PEN</v>
          </cell>
          <cell r="C89">
            <v>150</v>
          </cell>
          <cell r="D89">
            <v>45141</v>
          </cell>
          <cell r="E89" t="str">
            <v>RUA BISPO RODOVALHO , 88 / 100</v>
          </cell>
          <cell r="F89" t="str">
            <v>CENTRO</v>
          </cell>
          <cell r="G89" t="str">
            <v>TAUBATÉ</v>
          </cell>
          <cell r="H89" t="str">
            <v>SP INT SJC</v>
          </cell>
          <cell r="I89" t="str">
            <v>T</v>
          </cell>
          <cell r="J89">
            <v>14</v>
          </cell>
          <cell r="K89">
            <v>0</v>
          </cell>
          <cell r="L89" t="str">
            <v>FELIPE/NATÁLIA</v>
          </cell>
          <cell r="M89" t="str">
            <v>01 VAN</v>
          </cell>
          <cell r="N89">
            <v>0.70833333333333337</v>
          </cell>
        </row>
        <row r="90">
          <cell r="A90" t="str">
            <v>CFX1018</v>
          </cell>
          <cell r="B90" t="str">
            <v>CFX</v>
          </cell>
          <cell r="C90">
            <v>1018</v>
          </cell>
          <cell r="D90">
            <v>45141</v>
          </cell>
          <cell r="E90" t="str">
            <v>AV : POMPÉIA , 1178</v>
          </cell>
          <cell r="F90" t="str">
            <v>POMPÉIA - HOSP. SÃO CAMILO</v>
          </cell>
          <cell r="G90" t="str">
            <v>SÃO PAULO</v>
          </cell>
          <cell r="H90" t="str">
            <v>SP LESTE</v>
          </cell>
          <cell r="I90" t="str">
            <v>T</v>
          </cell>
          <cell r="J90">
            <v>4</v>
          </cell>
          <cell r="K90">
            <v>0</v>
          </cell>
          <cell r="L90" t="str">
            <v>CARINA</v>
          </cell>
          <cell r="M90" t="str">
            <v>NÃO</v>
          </cell>
          <cell r="N90" t="str">
            <v>NÃO</v>
          </cell>
        </row>
        <row r="91">
          <cell r="A91" t="str">
            <v>DSP944</v>
          </cell>
          <cell r="B91" t="str">
            <v>DSP</v>
          </cell>
          <cell r="C91">
            <v>944</v>
          </cell>
          <cell r="D91">
            <v>45141</v>
          </cell>
          <cell r="E91" t="str">
            <v>RUA OSWALDO OSCAR BARTHELSON , 1269</v>
          </cell>
          <cell r="F91" t="str">
            <v>JD. PAULICÉIA</v>
          </cell>
          <cell r="G91" t="str">
            <v>CAMPINAS</v>
          </cell>
          <cell r="H91" t="str">
            <v>SP LESTE</v>
          </cell>
          <cell r="I91" t="str">
            <v>T</v>
          </cell>
          <cell r="J91">
            <v>11</v>
          </cell>
          <cell r="K91">
            <v>0</v>
          </cell>
          <cell r="L91" t="str">
            <v>LUANA/MARCELO</v>
          </cell>
          <cell r="M91" t="str">
            <v>01 VAN</v>
          </cell>
          <cell r="N91">
            <v>0.72916666666666663</v>
          </cell>
        </row>
        <row r="92">
          <cell r="A92" t="str">
            <v>DSP2167</v>
          </cell>
          <cell r="B92" t="str">
            <v>DSP</v>
          </cell>
          <cell r="C92">
            <v>2167</v>
          </cell>
          <cell r="D92">
            <v>45141</v>
          </cell>
          <cell r="E92" t="str">
            <v>RUA SUÍÇA , 149</v>
          </cell>
          <cell r="F92" t="str">
            <v>JD. CICA</v>
          </cell>
          <cell r="G92" t="str">
            <v>JUNDIAÍ</v>
          </cell>
          <cell r="H92" t="str">
            <v>SP LESTE</v>
          </cell>
          <cell r="I92" t="str">
            <v>T</v>
          </cell>
          <cell r="J92">
            <v>11</v>
          </cell>
          <cell r="K92">
            <v>0</v>
          </cell>
          <cell r="L92" t="str">
            <v>JÉSSICA/CHRIS</v>
          </cell>
          <cell r="M92" t="str">
            <v>01 VAN</v>
          </cell>
          <cell r="N92">
            <v>0.72916666666666663</v>
          </cell>
        </row>
        <row r="93">
          <cell r="A93" t="str">
            <v>PMO16</v>
          </cell>
          <cell r="B93" t="str">
            <v>PMO</v>
          </cell>
          <cell r="C93">
            <v>16</v>
          </cell>
          <cell r="D93">
            <v>45141</v>
          </cell>
          <cell r="E93" t="str">
            <v>RUA SÃO GONÇALO DO ABAETÉ , 147</v>
          </cell>
          <cell r="F93" t="str">
            <v>PQ TIETÊ</v>
          </cell>
          <cell r="G93" t="str">
            <v>SÃO PAULO</v>
          </cell>
          <cell r="H93" t="str">
            <v>SP LESTE</v>
          </cell>
          <cell r="I93" t="str">
            <v>T</v>
          </cell>
          <cell r="J93">
            <v>9</v>
          </cell>
          <cell r="K93">
            <v>0</v>
          </cell>
          <cell r="L93" t="str">
            <v>TAMIRES</v>
          </cell>
          <cell r="M93" t="str">
            <v>NÃO</v>
          </cell>
          <cell r="N93" t="str">
            <v>NÃO</v>
          </cell>
        </row>
        <row r="94">
          <cell r="A94" t="str">
            <v>PRA2</v>
          </cell>
          <cell r="B94" t="str">
            <v>PRA</v>
          </cell>
          <cell r="C94">
            <v>2</v>
          </cell>
          <cell r="D94">
            <v>45141</v>
          </cell>
          <cell r="E94" t="str">
            <v>RUA JOÃO LOPES DE LIMA , 1026</v>
          </cell>
          <cell r="F94" t="str">
            <v>JD. SAPOPEMBA</v>
          </cell>
          <cell r="G94" t="str">
            <v>SÃO PAULO</v>
          </cell>
          <cell r="H94" t="str">
            <v>SP LESTE</v>
          </cell>
          <cell r="I94" t="str">
            <v>T</v>
          </cell>
          <cell r="J94">
            <v>24</v>
          </cell>
          <cell r="K94">
            <v>0</v>
          </cell>
          <cell r="L94" t="str">
            <v>PATRÍCIA/LUÍS</v>
          </cell>
          <cell r="M94" t="str">
            <v>NÃO</v>
          </cell>
          <cell r="N94" t="str">
            <v>NÃO</v>
          </cell>
        </row>
        <row r="95">
          <cell r="A95" t="str">
            <v>OXX1096575</v>
          </cell>
          <cell r="B95" t="str">
            <v>OXX</v>
          </cell>
          <cell r="C95">
            <v>1096575</v>
          </cell>
          <cell r="D95">
            <v>45141</v>
          </cell>
          <cell r="E95" t="str">
            <v>AV : MELCHERT , 1039</v>
          </cell>
          <cell r="F95" t="str">
            <v>VILA MATILDE - MELCHERT</v>
          </cell>
          <cell r="G95" t="str">
            <v>SÃO PAULO</v>
          </cell>
          <cell r="H95" t="str">
            <v>SP LESTE X</v>
          </cell>
          <cell r="I95" t="str">
            <v>P</v>
          </cell>
          <cell r="J95">
            <v>3</v>
          </cell>
          <cell r="K95" t="str">
            <v>DIURNO</v>
          </cell>
          <cell r="L95" t="str">
            <v>KAIQUE</v>
          </cell>
          <cell r="M95" t="str">
            <v>NÃO</v>
          </cell>
          <cell r="N95" t="str">
            <v>NÃO</v>
          </cell>
        </row>
        <row r="96">
          <cell r="A96" t="str">
            <v>OXX1098812</v>
          </cell>
          <cell r="B96" t="str">
            <v>OXX</v>
          </cell>
          <cell r="C96">
            <v>1098812</v>
          </cell>
          <cell r="D96">
            <v>45141</v>
          </cell>
          <cell r="E96" t="str">
            <v>RUA JUSTINO PAIXÃO , 753</v>
          </cell>
          <cell r="F96" t="str">
            <v>JD. SÃO CAETANO - GUIDO</v>
          </cell>
          <cell r="G96" t="str">
            <v>SÃO CAETANO DO SUL</v>
          </cell>
          <cell r="H96" t="str">
            <v>SP LESTE X</v>
          </cell>
          <cell r="I96" t="str">
            <v>P</v>
          </cell>
          <cell r="J96">
            <v>3</v>
          </cell>
          <cell r="K96" t="str">
            <v>DIURNO</v>
          </cell>
          <cell r="L96" t="str">
            <v>CÁSSIA/ARTHUR</v>
          </cell>
          <cell r="M96" t="str">
            <v>UBER</v>
          </cell>
          <cell r="N96">
            <v>0.3125</v>
          </cell>
        </row>
        <row r="97">
          <cell r="A97" t="str">
            <v>OXX1098971</v>
          </cell>
          <cell r="B97" t="str">
            <v>OXX</v>
          </cell>
          <cell r="C97">
            <v>1098971</v>
          </cell>
          <cell r="D97">
            <v>45141</v>
          </cell>
          <cell r="E97" t="str">
            <v>RUA SEN CÉSAR LACERDA VERGUEIRO , 286</v>
          </cell>
          <cell r="F97" t="str">
            <v>SUMAREZINHO - YOU HARMONIA</v>
          </cell>
          <cell r="G97" t="str">
            <v>SÃO PAULO</v>
          </cell>
          <cell r="H97" t="str">
            <v>SP LESTE X</v>
          </cell>
          <cell r="I97" t="str">
            <v>P</v>
          </cell>
          <cell r="J97">
            <v>3</v>
          </cell>
          <cell r="K97" t="str">
            <v>DIURNO</v>
          </cell>
          <cell r="L97" t="str">
            <v>JOSÉ WELVYS</v>
          </cell>
          <cell r="M97" t="str">
            <v>NÃO</v>
          </cell>
          <cell r="N97" t="str">
            <v>NÃO</v>
          </cell>
        </row>
        <row r="98">
          <cell r="A98" t="str">
            <v>OXX1100382</v>
          </cell>
          <cell r="B98" t="str">
            <v>OXX</v>
          </cell>
          <cell r="C98">
            <v>1100382</v>
          </cell>
          <cell r="D98">
            <v>45141</v>
          </cell>
          <cell r="E98" t="str">
            <v>AV : DO ORATÓRIO , 5553</v>
          </cell>
          <cell r="F98" t="str">
            <v>VILA TOLSTÓI - VIDA NOVA</v>
          </cell>
          <cell r="G98" t="str">
            <v>SÃO PAULO</v>
          </cell>
          <cell r="H98" t="str">
            <v>SP LESTE X</v>
          </cell>
          <cell r="I98" t="str">
            <v>P</v>
          </cell>
          <cell r="J98">
            <v>3</v>
          </cell>
          <cell r="K98" t="str">
            <v>DIURNO</v>
          </cell>
          <cell r="L98" t="str">
            <v>LARISSA</v>
          </cell>
          <cell r="M98" t="str">
            <v>NÃO</v>
          </cell>
          <cell r="N98" t="str">
            <v>NÃO</v>
          </cell>
        </row>
        <row r="99">
          <cell r="A99" t="str">
            <v>OXX1100476</v>
          </cell>
          <cell r="B99" t="str">
            <v>OXX</v>
          </cell>
          <cell r="C99">
            <v>1100476</v>
          </cell>
          <cell r="D99">
            <v>45141</v>
          </cell>
          <cell r="E99" t="str">
            <v>RUA DR. CÉSAR , 422</v>
          </cell>
          <cell r="F99" t="str">
            <v>SANTANA - MAGNIFIC</v>
          </cell>
          <cell r="G99" t="str">
            <v>SÃO PAULO</v>
          </cell>
          <cell r="H99" t="str">
            <v>SP LESTE X</v>
          </cell>
          <cell r="I99" t="str">
            <v>P</v>
          </cell>
          <cell r="J99">
            <v>3</v>
          </cell>
          <cell r="K99" t="str">
            <v>DIURNO</v>
          </cell>
          <cell r="L99" t="str">
            <v>GAMA</v>
          </cell>
          <cell r="M99" t="str">
            <v>NÃO</v>
          </cell>
          <cell r="N99" t="str">
            <v>NÃO</v>
          </cell>
        </row>
        <row r="100">
          <cell r="A100" t="str">
            <v>OXX1100679</v>
          </cell>
          <cell r="B100" t="str">
            <v>OXX</v>
          </cell>
          <cell r="C100">
            <v>1100679</v>
          </cell>
          <cell r="D100">
            <v>45141</v>
          </cell>
          <cell r="E100" t="str">
            <v>AV : ÍTALO BRASILEIRO PIVA , 209</v>
          </cell>
          <cell r="F100" t="str">
            <v>JD. FLOR DA MONTANHA - ÍTALO</v>
          </cell>
          <cell r="G100" t="str">
            <v>GUARULHOS</v>
          </cell>
          <cell r="H100" t="str">
            <v>SP LESTE X</v>
          </cell>
          <cell r="I100" t="str">
            <v>P</v>
          </cell>
          <cell r="J100">
            <v>3</v>
          </cell>
          <cell r="K100" t="str">
            <v>DIURNO</v>
          </cell>
          <cell r="L100" t="str">
            <v>ANDERSON/JOYCE</v>
          </cell>
          <cell r="M100" t="str">
            <v>UBER</v>
          </cell>
          <cell r="N100">
            <v>0.29166666666666669</v>
          </cell>
        </row>
        <row r="101">
          <cell r="A101" t="str">
            <v>CFM743</v>
          </cell>
          <cell r="B101" t="str">
            <v>CFM</v>
          </cell>
          <cell r="C101">
            <v>743</v>
          </cell>
          <cell r="D101">
            <v>45141</v>
          </cell>
          <cell r="E101" t="str">
            <v>RUA JOSÉ DA SILVA RIBEIRO , 183</v>
          </cell>
          <cell r="F101" t="str">
            <v>VILA ANDRADE - PATEO JAHU</v>
          </cell>
          <cell r="G101" t="str">
            <v>SÃO PAULO</v>
          </cell>
          <cell r="H101" t="str">
            <v>SP SUL</v>
          </cell>
          <cell r="I101" t="str">
            <v>T</v>
          </cell>
          <cell r="J101">
            <v>11</v>
          </cell>
          <cell r="K101">
            <v>0</v>
          </cell>
          <cell r="L101" t="str">
            <v>ELAINE</v>
          </cell>
          <cell r="M101" t="str">
            <v>NÃO</v>
          </cell>
          <cell r="N101" t="str">
            <v>NÃO</v>
          </cell>
        </row>
        <row r="102">
          <cell r="A102" t="str">
            <v>CTM7</v>
          </cell>
          <cell r="B102" t="str">
            <v>CTM</v>
          </cell>
          <cell r="C102">
            <v>7</v>
          </cell>
          <cell r="D102">
            <v>45141</v>
          </cell>
          <cell r="E102" t="str">
            <v>ESTRADA DE ITAPECERICA , 12550</v>
          </cell>
          <cell r="F102" t="str">
            <v>VALO VELHO</v>
          </cell>
          <cell r="G102" t="str">
            <v>SÃO PAULO</v>
          </cell>
          <cell r="H102" t="str">
            <v>SP SUL</v>
          </cell>
          <cell r="I102" t="str">
            <v>T</v>
          </cell>
          <cell r="J102">
            <v>14</v>
          </cell>
          <cell r="K102">
            <v>0</v>
          </cell>
          <cell r="L102" t="str">
            <v>VIANA</v>
          </cell>
          <cell r="M102" t="str">
            <v>NÃO</v>
          </cell>
          <cell r="N102" t="str">
            <v>NÃO</v>
          </cell>
        </row>
        <row r="103">
          <cell r="A103" t="str">
            <v>DSP223</v>
          </cell>
          <cell r="B103" t="str">
            <v>DSP</v>
          </cell>
          <cell r="C103">
            <v>223</v>
          </cell>
          <cell r="D103">
            <v>45141</v>
          </cell>
          <cell r="E103" t="str">
            <v>RUA CLODOMIRO AMAZONAS , 1249</v>
          </cell>
          <cell r="F103" t="str">
            <v>VILA NOVA CONCEIÇÃO - 24h</v>
          </cell>
          <cell r="G103" t="str">
            <v>SÃO PAULO</v>
          </cell>
          <cell r="H103" t="str">
            <v>SP SUL</v>
          </cell>
          <cell r="I103" t="str">
            <v>CAN</v>
          </cell>
          <cell r="J103">
            <v>13</v>
          </cell>
          <cell r="K103">
            <v>0</v>
          </cell>
          <cell r="L103" t="str">
            <v>JUSCELINO</v>
          </cell>
          <cell r="M103" t="str">
            <v>NÃO</v>
          </cell>
          <cell r="N103" t="str">
            <v>NÃO</v>
          </cell>
        </row>
        <row r="104">
          <cell r="A104" t="str">
            <v>MNS195</v>
          </cell>
          <cell r="B104" t="str">
            <v>MNS</v>
          </cell>
          <cell r="C104">
            <v>195</v>
          </cell>
          <cell r="D104">
            <v>45141</v>
          </cell>
          <cell r="E104" t="str">
            <v>RUA GALVÃO BUENO , 13</v>
          </cell>
          <cell r="F104" t="str">
            <v>LIBERDADE</v>
          </cell>
          <cell r="G104" t="str">
            <v>SÃO PAULO</v>
          </cell>
          <cell r="H104" t="str">
            <v>SP SUL</v>
          </cell>
          <cell r="I104" t="str">
            <v>T</v>
          </cell>
          <cell r="J104">
            <v>20</v>
          </cell>
          <cell r="K104">
            <v>0</v>
          </cell>
          <cell r="L104" t="str">
            <v>RUAN</v>
          </cell>
          <cell r="M104" t="str">
            <v>NÃO</v>
          </cell>
          <cell r="N104" t="str">
            <v>NÃO</v>
          </cell>
        </row>
        <row r="105">
          <cell r="A105" t="str">
            <v>MNS8195</v>
          </cell>
          <cell r="B105" t="str">
            <v>MNS</v>
          </cell>
          <cell r="C105">
            <v>8195</v>
          </cell>
          <cell r="D105">
            <v>45141</v>
          </cell>
          <cell r="E105" t="str">
            <v>RUA DOS AFLITOS , 47</v>
          </cell>
          <cell r="F105" t="str">
            <v>LIBERDADE - DEPÓSITO</v>
          </cell>
          <cell r="G105" t="str">
            <v>SÃO PAULO</v>
          </cell>
          <cell r="H105" t="str">
            <v>SP SUL</v>
          </cell>
          <cell r="I105" t="str">
            <v>T</v>
          </cell>
          <cell r="J105">
            <v>10</v>
          </cell>
          <cell r="K105">
            <v>0</v>
          </cell>
          <cell r="L105" t="str">
            <v>CARLOS</v>
          </cell>
          <cell r="M105" t="str">
            <v>NÃO</v>
          </cell>
          <cell r="N105" t="str">
            <v>NÃO</v>
          </cell>
        </row>
        <row r="106">
          <cell r="A106" t="str">
            <v>PMO34</v>
          </cell>
          <cell r="B106" t="str">
            <v>PMO</v>
          </cell>
          <cell r="C106">
            <v>34</v>
          </cell>
          <cell r="D106">
            <v>45141</v>
          </cell>
          <cell r="E106" t="str">
            <v>RUA DR. CÉSAR CASTIGLIONI JÚNIOR , 139</v>
          </cell>
          <cell r="F106" t="str">
            <v>CASA VERDE</v>
          </cell>
          <cell r="G106" t="str">
            <v>SÃO PAULO</v>
          </cell>
          <cell r="H106" t="str">
            <v>SP SUL</v>
          </cell>
          <cell r="I106" t="str">
            <v>T</v>
          </cell>
          <cell r="J106">
            <v>5</v>
          </cell>
          <cell r="K106">
            <v>0</v>
          </cell>
          <cell r="L106" t="str">
            <v>FERNANDO/DÉBORA</v>
          </cell>
          <cell r="M106" t="str">
            <v>NÃO</v>
          </cell>
          <cell r="N106" t="str">
            <v>NÃO</v>
          </cell>
        </row>
        <row r="107">
          <cell r="A107" t="str">
            <v>PVI127</v>
          </cell>
          <cell r="B107" t="str">
            <v>PVI</v>
          </cell>
          <cell r="C107">
            <v>127</v>
          </cell>
          <cell r="D107">
            <v>45141</v>
          </cell>
          <cell r="E107" t="str">
            <v>RUA HADDOCK LOBO , 1700 - CERQUEIRA CÉSAR</v>
          </cell>
          <cell r="F107" t="str">
            <v>HADDOCK LOBO - CASA</v>
          </cell>
          <cell r="G107" t="str">
            <v>SÃO PAULO</v>
          </cell>
          <cell r="H107" t="str">
            <v>SP SUL</v>
          </cell>
          <cell r="I107" t="str">
            <v>T</v>
          </cell>
          <cell r="J107">
            <v>7</v>
          </cell>
          <cell r="K107">
            <v>0</v>
          </cell>
          <cell r="L107" t="str">
            <v>YGOR/GLEDSON</v>
          </cell>
          <cell r="M107" t="str">
            <v>NÃO</v>
          </cell>
          <cell r="N107" t="str">
            <v>NÃO</v>
          </cell>
        </row>
        <row r="108">
          <cell r="A108" t="str">
            <v>OXX1096334</v>
          </cell>
          <cell r="B108" t="str">
            <v>OXX</v>
          </cell>
          <cell r="C108">
            <v>1096334</v>
          </cell>
          <cell r="D108">
            <v>45141</v>
          </cell>
          <cell r="E108" t="str">
            <v>RUA DOMINGOS DE MORAIS , 858</v>
          </cell>
          <cell r="F108" t="str">
            <v>VILA MARIANA - JOAQUIM TÁVORA</v>
          </cell>
          <cell r="G108" t="str">
            <v>SÃO PAULO</v>
          </cell>
          <cell r="H108" t="str">
            <v>SP SUL X</v>
          </cell>
          <cell r="I108" t="str">
            <v>P</v>
          </cell>
          <cell r="J108">
            <v>3</v>
          </cell>
          <cell r="K108" t="str">
            <v>DIURNO</v>
          </cell>
          <cell r="L108" t="str">
            <v>CLAUDIA</v>
          </cell>
          <cell r="M108" t="str">
            <v>NÃO</v>
          </cell>
          <cell r="N108" t="str">
            <v>NÃO</v>
          </cell>
        </row>
        <row r="109">
          <cell r="A109" t="str">
            <v>OXX1096847</v>
          </cell>
          <cell r="B109" t="str">
            <v>OXX</v>
          </cell>
          <cell r="C109">
            <v>1096847</v>
          </cell>
          <cell r="D109">
            <v>45141</v>
          </cell>
          <cell r="E109" t="str">
            <v>RUA DOS MARAPÉS , 14</v>
          </cell>
          <cell r="F109" t="str">
            <v>PQ. JABAQUARA - VILA CAMPESTRE</v>
          </cell>
          <cell r="G109" t="str">
            <v>SÃO PAULO</v>
          </cell>
          <cell r="H109" t="str">
            <v>SP SUL X</v>
          </cell>
          <cell r="I109" t="str">
            <v>P</v>
          </cell>
          <cell r="J109">
            <v>3</v>
          </cell>
          <cell r="K109" t="str">
            <v>DIURNO</v>
          </cell>
          <cell r="L109" t="str">
            <v>NATHALIA</v>
          </cell>
          <cell r="M109" t="str">
            <v>NÃO</v>
          </cell>
          <cell r="N109" t="str">
            <v>NÃO</v>
          </cell>
        </row>
        <row r="110">
          <cell r="A110" t="str">
            <v>OXX1100179</v>
          </cell>
          <cell r="B110" t="str">
            <v>OXX</v>
          </cell>
          <cell r="C110">
            <v>1100179</v>
          </cell>
          <cell r="D110">
            <v>45141</v>
          </cell>
          <cell r="E110" t="str">
            <v>RUA REGO FREITAS , 363</v>
          </cell>
          <cell r="F110" t="str">
            <v>REPÚBLICA - REGO FREITAS</v>
          </cell>
          <cell r="G110" t="str">
            <v>SÃO PAULO</v>
          </cell>
          <cell r="H110" t="str">
            <v>SP SUL X</v>
          </cell>
          <cell r="I110" t="str">
            <v>P</v>
          </cell>
          <cell r="J110">
            <v>3</v>
          </cell>
          <cell r="K110" t="str">
            <v>DIURNO</v>
          </cell>
          <cell r="L110" t="str">
            <v>JÉSSICA</v>
          </cell>
          <cell r="M110" t="str">
            <v>NÃO</v>
          </cell>
          <cell r="N110" t="str">
            <v>NÃO</v>
          </cell>
        </row>
        <row r="111">
          <cell r="A111" t="str">
            <v>OXX1100185</v>
          </cell>
          <cell r="B111" t="str">
            <v>OXX</v>
          </cell>
          <cell r="C111">
            <v>1100185</v>
          </cell>
          <cell r="D111">
            <v>45141</v>
          </cell>
          <cell r="E111" t="str">
            <v>RUA AMÉRICO BRASILIENSE , 1816</v>
          </cell>
          <cell r="F111" t="str">
            <v>CHÁCARA SANTO ANTÔNIO - BRASILIENSE</v>
          </cell>
          <cell r="G111" t="str">
            <v>SÃO PAULO</v>
          </cell>
          <cell r="H111" t="str">
            <v>SP SUL X</v>
          </cell>
          <cell r="I111" t="str">
            <v>P</v>
          </cell>
          <cell r="J111">
            <v>3</v>
          </cell>
          <cell r="K111" t="str">
            <v>DIURNO</v>
          </cell>
          <cell r="L111" t="str">
            <v>RAYANE</v>
          </cell>
          <cell r="M111" t="str">
            <v>NÃO</v>
          </cell>
          <cell r="N111" t="str">
            <v>NÃO</v>
          </cell>
        </row>
        <row r="112">
          <cell r="A112" t="str">
            <v>OXX1100250</v>
          </cell>
          <cell r="B112" t="str">
            <v>OXX</v>
          </cell>
          <cell r="C112">
            <v>1100250</v>
          </cell>
          <cell r="D112">
            <v>45141</v>
          </cell>
          <cell r="E112" t="str">
            <v>RUA GUARARAPES , 1941</v>
          </cell>
          <cell r="F112" t="str">
            <v>CIDADE MONÇÕES - ROBOTON</v>
          </cell>
          <cell r="G112" t="str">
            <v>SÃO PAULO</v>
          </cell>
          <cell r="H112" t="str">
            <v>SP SUL X</v>
          </cell>
          <cell r="I112" t="str">
            <v>P</v>
          </cell>
          <cell r="J112">
            <v>3</v>
          </cell>
          <cell r="K112" t="str">
            <v>DIURNO</v>
          </cell>
          <cell r="L112" t="str">
            <v>FLAVIA</v>
          </cell>
          <cell r="M112" t="str">
            <v>NÃO</v>
          </cell>
          <cell r="N112" t="str">
            <v>NÃO</v>
          </cell>
        </row>
        <row r="113">
          <cell r="A113" t="str">
            <v>OXX1100454</v>
          </cell>
          <cell r="B113" t="str">
            <v>OXX</v>
          </cell>
          <cell r="C113">
            <v>1100454</v>
          </cell>
          <cell r="D113">
            <v>45141</v>
          </cell>
          <cell r="E113" t="str">
            <v>RUA GALVÃO BUENO , 724</v>
          </cell>
          <cell r="F113" t="str">
            <v>LIBERDADE - BOAT</v>
          </cell>
          <cell r="G113" t="str">
            <v>SÃO PAULO</v>
          </cell>
          <cell r="H113" t="str">
            <v>SP SUL X</v>
          </cell>
          <cell r="I113" t="str">
            <v>P</v>
          </cell>
          <cell r="J113">
            <v>3</v>
          </cell>
          <cell r="K113" t="str">
            <v>DIURNO</v>
          </cell>
          <cell r="L113" t="str">
            <v>ANDRÉ</v>
          </cell>
          <cell r="M113" t="str">
            <v>NÃO</v>
          </cell>
          <cell r="N113" t="str">
            <v>NÃO</v>
          </cell>
        </row>
        <row r="114">
          <cell r="A114" t="str">
            <v/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 t="str">
            <v>Total</v>
          </cell>
          <cell r="J114">
            <v>322</v>
          </cell>
          <cell r="K114">
            <v>268</v>
          </cell>
          <cell r="L114">
            <v>0</v>
          </cell>
          <cell r="M114">
            <v>0</v>
          </cell>
          <cell r="N114">
            <v>0</v>
          </cell>
        </row>
        <row r="115">
          <cell r="A115" t="str">
            <v/>
          </cell>
          <cell r="B115">
            <v>0</v>
          </cell>
          <cell r="C115">
            <v>0</v>
          </cell>
          <cell r="D115">
            <v>0</v>
          </cell>
          <cell r="E115">
            <v>45142</v>
          </cell>
          <cell r="F115" t="str">
            <v>SEXTA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DSP810</v>
          </cell>
          <cell r="B116" t="str">
            <v>DSP</v>
          </cell>
          <cell r="C116">
            <v>810</v>
          </cell>
          <cell r="D116">
            <v>45142</v>
          </cell>
          <cell r="E116" t="str">
            <v>RUA CORONEL JOAQUIM ANSELMO MARTINS , 795</v>
          </cell>
          <cell r="F116" t="str">
            <v>CENTRO - 24h</v>
          </cell>
          <cell r="G116" t="str">
            <v>LENÇÓIS PAULISTA</v>
          </cell>
          <cell r="H116" t="str">
            <v>SP INT BAURU</v>
          </cell>
          <cell r="I116" t="str">
            <v>T</v>
          </cell>
          <cell r="J116">
            <v>13</v>
          </cell>
          <cell r="K116">
            <v>0</v>
          </cell>
          <cell r="L116" t="str">
            <v>ROSÂNGELA</v>
          </cell>
          <cell r="M116" t="str">
            <v>01 VAN</v>
          </cell>
          <cell r="N116">
            <v>0.77083333333333337</v>
          </cell>
        </row>
        <row r="117">
          <cell r="A117" t="str">
            <v>OXX1100243</v>
          </cell>
          <cell r="B117" t="str">
            <v>OXX</v>
          </cell>
          <cell r="C117">
            <v>1100243</v>
          </cell>
          <cell r="D117">
            <v>45142</v>
          </cell>
          <cell r="E117" t="str">
            <v>RUA PROF. NELSON A. FIGUEIREDO BRITO , 10</v>
          </cell>
          <cell r="F117" t="str">
            <v>JD. TORRES - CORVETTE</v>
          </cell>
          <cell r="G117" t="str">
            <v>JUNDIAÍ</v>
          </cell>
          <cell r="H117" t="str">
            <v>SP INT CPN</v>
          </cell>
          <cell r="I117" t="str">
            <v>P</v>
          </cell>
          <cell r="J117">
            <v>3</v>
          </cell>
          <cell r="K117" t="str">
            <v>DIURNO</v>
          </cell>
          <cell r="L117" t="str">
            <v>IZABELA/THALIA</v>
          </cell>
          <cell r="M117" t="str">
            <v>UBER</v>
          </cell>
          <cell r="N117">
            <v>0.29166666666666669</v>
          </cell>
        </row>
        <row r="118">
          <cell r="A118" t="str">
            <v>SHX1085528</v>
          </cell>
          <cell r="B118" t="str">
            <v>SHX</v>
          </cell>
          <cell r="C118">
            <v>1085528</v>
          </cell>
          <cell r="D118">
            <v>45142</v>
          </cell>
          <cell r="E118" t="str">
            <v>AV : COM. CAMILLO JÚLIO , 1181</v>
          </cell>
          <cell r="F118" t="str">
            <v>JD. IBITI DO PAÇO - LINC</v>
          </cell>
          <cell r="G118" t="str">
            <v>SOROCABA</v>
          </cell>
          <cell r="H118" t="str">
            <v>SP INT CPN</v>
          </cell>
          <cell r="I118" t="str">
            <v>P</v>
          </cell>
          <cell r="J118">
            <v>2</v>
          </cell>
          <cell r="K118" t="str">
            <v>DIURNO</v>
          </cell>
          <cell r="L118" t="str">
            <v>LEONARDO</v>
          </cell>
          <cell r="M118" t="str">
            <v>UBER</v>
          </cell>
          <cell r="N118">
            <v>0.25</v>
          </cell>
        </row>
        <row r="119">
          <cell r="A119" t="str">
            <v>SHX1093509</v>
          </cell>
          <cell r="B119" t="str">
            <v>SHX</v>
          </cell>
          <cell r="C119">
            <v>1093509</v>
          </cell>
          <cell r="D119">
            <v>45142</v>
          </cell>
          <cell r="E119" t="str">
            <v>AV : ITAVUVU , 1175</v>
          </cell>
          <cell r="F119" t="str">
            <v>VILA JOSEFINA - PET A1</v>
          </cell>
          <cell r="G119" t="str">
            <v>SOROCABA</v>
          </cell>
          <cell r="H119" t="str">
            <v>SP INT CPN</v>
          </cell>
          <cell r="I119" t="str">
            <v>P</v>
          </cell>
          <cell r="J119">
            <v>2</v>
          </cell>
          <cell r="K119" t="str">
            <v>DIURNO</v>
          </cell>
          <cell r="L119" t="str">
            <v>LETÍCIA/EVA</v>
          </cell>
          <cell r="M119" t="str">
            <v>UBER</v>
          </cell>
          <cell r="N119">
            <v>0.25</v>
          </cell>
        </row>
        <row r="120">
          <cell r="A120" t="str">
            <v>DSP306</v>
          </cell>
          <cell r="B120" t="str">
            <v>DSP</v>
          </cell>
          <cell r="C120">
            <v>306</v>
          </cell>
          <cell r="D120">
            <v>45142</v>
          </cell>
          <cell r="E120" t="str">
            <v>AV : INDEPENDÊNCIA , 1685</v>
          </cell>
          <cell r="F120" t="str">
            <v>BAIRRO ALTO - 24h</v>
          </cell>
          <cell r="G120" t="str">
            <v>PIRACICABA</v>
          </cell>
          <cell r="H120" t="str">
            <v>SP INT LIMEIRA</v>
          </cell>
          <cell r="I120" t="str">
            <v>T</v>
          </cell>
          <cell r="J120">
            <v>13</v>
          </cell>
          <cell r="K120">
            <v>0</v>
          </cell>
          <cell r="L120" t="str">
            <v>EMERSON</v>
          </cell>
          <cell r="M120" t="str">
            <v>01 VAN</v>
          </cell>
          <cell r="N120">
            <v>0.77083333333333337</v>
          </cell>
        </row>
        <row r="121">
          <cell r="A121" t="str">
            <v>SBS9</v>
          </cell>
          <cell r="B121" t="str">
            <v>SBS</v>
          </cell>
          <cell r="C121">
            <v>9</v>
          </cell>
          <cell r="D121">
            <v>45142</v>
          </cell>
          <cell r="E121" t="str">
            <v>RODOVIA DA CONVENÇÃO , 1455</v>
          </cell>
          <cell r="F121" t="str">
            <v>CONTE - MATRIZ</v>
          </cell>
          <cell r="G121" t="str">
            <v>SALTO</v>
          </cell>
          <cell r="H121" t="str">
            <v>SP INT LIMEIRA</v>
          </cell>
          <cell r="I121" t="str">
            <v>F</v>
          </cell>
          <cell r="J121">
            <v>7</v>
          </cell>
          <cell r="K121">
            <v>0</v>
          </cell>
          <cell r="L121" t="str">
            <v>GUSTAVO</v>
          </cell>
          <cell r="M121">
            <v>0</v>
          </cell>
          <cell r="N121">
            <v>0</v>
          </cell>
        </row>
        <row r="122">
          <cell r="A122" t="str">
            <v>PMO17</v>
          </cell>
          <cell r="B122" t="str">
            <v>PMO</v>
          </cell>
          <cell r="C122">
            <v>17</v>
          </cell>
          <cell r="D122">
            <v>45142</v>
          </cell>
          <cell r="E122" t="str">
            <v>ESTRADA GUARULHOS NAZARÉ , 26/27</v>
          </cell>
          <cell r="F122" t="str">
            <v>CUMBICA - JD. SÃO JOÃO 2</v>
          </cell>
          <cell r="G122" t="str">
            <v>GUARULHOS</v>
          </cell>
          <cell r="H122" t="str">
            <v>SP LESTE</v>
          </cell>
          <cell r="I122" t="str">
            <v>T</v>
          </cell>
          <cell r="J122">
            <v>6</v>
          </cell>
          <cell r="K122">
            <v>0</v>
          </cell>
          <cell r="L122" t="str">
            <v>TAMIRES</v>
          </cell>
          <cell r="M122" t="str">
            <v>UBER</v>
          </cell>
          <cell r="N122">
            <v>0.79166666666666663</v>
          </cell>
        </row>
        <row r="123">
          <cell r="A123" t="str">
            <v>OXX1100098</v>
          </cell>
          <cell r="B123" t="str">
            <v>OXX</v>
          </cell>
          <cell r="C123">
            <v>1100098</v>
          </cell>
          <cell r="D123">
            <v>45142</v>
          </cell>
          <cell r="E123" t="str">
            <v>AV : CELSO GARCIA , 5682</v>
          </cell>
          <cell r="F123" t="str">
            <v>TATUAPÉ - TRIUNFO</v>
          </cell>
          <cell r="G123" t="str">
            <v>SÃO PAULO</v>
          </cell>
          <cell r="H123" t="str">
            <v>SP LESTE X</v>
          </cell>
          <cell r="I123" t="str">
            <v>P</v>
          </cell>
          <cell r="J123">
            <v>3</v>
          </cell>
          <cell r="K123" t="str">
            <v>DIURNO</v>
          </cell>
          <cell r="L123" t="str">
            <v>JOSÉ WELVYS/KAIQUE</v>
          </cell>
          <cell r="M123" t="str">
            <v>NÃO</v>
          </cell>
          <cell r="N123" t="str">
            <v>NÃO</v>
          </cell>
        </row>
        <row r="124">
          <cell r="A124" t="str">
            <v>OXX1100341</v>
          </cell>
          <cell r="B124" t="str">
            <v>OXX</v>
          </cell>
          <cell r="C124">
            <v>1100341</v>
          </cell>
          <cell r="D124">
            <v>45142</v>
          </cell>
          <cell r="E124" t="str">
            <v>AV : PAULA FERREIRA , 2912</v>
          </cell>
          <cell r="F124" t="str">
            <v>PIRITUBA</v>
          </cell>
          <cell r="G124" t="str">
            <v>SÃO PAULO</v>
          </cell>
          <cell r="H124" t="str">
            <v>SP LESTE X</v>
          </cell>
          <cell r="I124" t="str">
            <v>P</v>
          </cell>
          <cell r="J124">
            <v>3</v>
          </cell>
          <cell r="K124" t="str">
            <v>DIURNO</v>
          </cell>
          <cell r="L124" t="str">
            <v>LARISSA/CÁSSIA</v>
          </cell>
          <cell r="M124" t="str">
            <v>NÃO</v>
          </cell>
          <cell r="N124" t="str">
            <v>NÃO</v>
          </cell>
        </row>
        <row r="125">
          <cell r="A125" t="str">
            <v>OXX1100373</v>
          </cell>
          <cell r="B125" t="str">
            <v>OXX</v>
          </cell>
          <cell r="C125">
            <v>1100373</v>
          </cell>
          <cell r="D125">
            <v>45142</v>
          </cell>
          <cell r="E125" t="str">
            <v>RUA PIAUÍ , 292</v>
          </cell>
          <cell r="F125" t="str">
            <v>HIGIENÓPOLIS - EVOLUÇÃO</v>
          </cell>
          <cell r="G125" t="str">
            <v>SÃO PAULO</v>
          </cell>
          <cell r="H125" t="str">
            <v>SP LESTE X</v>
          </cell>
          <cell r="I125" t="str">
            <v>P</v>
          </cell>
          <cell r="J125">
            <v>3</v>
          </cell>
          <cell r="K125" t="str">
            <v>DIURNO</v>
          </cell>
          <cell r="L125" t="str">
            <v>GAMA</v>
          </cell>
          <cell r="M125" t="str">
            <v>NÃO</v>
          </cell>
          <cell r="N125" t="str">
            <v>NÃO</v>
          </cell>
        </row>
        <row r="126">
          <cell r="A126" t="str">
            <v>OXX1100471</v>
          </cell>
          <cell r="B126" t="str">
            <v>OXX</v>
          </cell>
          <cell r="C126">
            <v>1100471</v>
          </cell>
          <cell r="D126">
            <v>45142</v>
          </cell>
          <cell r="E126" t="str">
            <v>RUA ANTÔNIO DE BARROS , 2573</v>
          </cell>
          <cell r="F126" t="str">
            <v>VILA CARRÃO - PRIME</v>
          </cell>
          <cell r="G126" t="str">
            <v>SÃO PAULO</v>
          </cell>
          <cell r="H126" t="str">
            <v>SP LESTE X</v>
          </cell>
          <cell r="I126" t="str">
            <v>P</v>
          </cell>
          <cell r="J126">
            <v>3</v>
          </cell>
          <cell r="K126" t="str">
            <v>DIURNO</v>
          </cell>
          <cell r="L126" t="str">
            <v>ARTHUR</v>
          </cell>
          <cell r="M126" t="str">
            <v>NÃO</v>
          </cell>
          <cell r="N126" t="str">
            <v>NÃO</v>
          </cell>
        </row>
        <row r="127">
          <cell r="A127" t="str">
            <v>OXX1100515</v>
          </cell>
          <cell r="B127" t="str">
            <v>OXX</v>
          </cell>
          <cell r="C127">
            <v>1100515</v>
          </cell>
          <cell r="D127">
            <v>45142</v>
          </cell>
          <cell r="E127" t="str">
            <v>RUA CLÉLIA , 306</v>
          </cell>
          <cell r="F127" t="str">
            <v>BARRA FUNDA - VERMELHINHO</v>
          </cell>
          <cell r="G127" t="str">
            <v>SÃO PAULO</v>
          </cell>
          <cell r="H127" t="str">
            <v>SP LESTE X</v>
          </cell>
          <cell r="I127" t="str">
            <v>P</v>
          </cell>
          <cell r="J127">
            <v>3</v>
          </cell>
          <cell r="K127" t="str">
            <v>DIURNO</v>
          </cell>
          <cell r="L127" t="str">
            <v>ANDERSON/JOYCE</v>
          </cell>
          <cell r="M127" t="str">
            <v>NÃO</v>
          </cell>
          <cell r="N127" t="str">
            <v>NÃO</v>
          </cell>
        </row>
        <row r="128">
          <cell r="A128" t="str">
            <v>CFX1681</v>
          </cell>
          <cell r="B128" t="str">
            <v>CFX</v>
          </cell>
          <cell r="C128">
            <v>1681</v>
          </cell>
          <cell r="D128">
            <v>45142</v>
          </cell>
          <cell r="E128" t="str">
            <v>AV : TUCUNARÉ , 125 - TÉRREO</v>
          </cell>
          <cell r="F128" t="str">
            <v>TAMBORÉ - MATRIZ</v>
          </cell>
          <cell r="G128" t="str">
            <v>BARUERI</v>
          </cell>
          <cell r="H128" t="str">
            <v>SP SUL</v>
          </cell>
          <cell r="I128" t="str">
            <v>F</v>
          </cell>
          <cell r="J128">
            <v>5</v>
          </cell>
          <cell r="K128">
            <v>0</v>
          </cell>
          <cell r="L128" t="str">
            <v>FERNANDO/DÉBORA</v>
          </cell>
          <cell r="M128">
            <v>0</v>
          </cell>
          <cell r="N128">
            <v>0</v>
          </cell>
        </row>
        <row r="129">
          <cell r="A129" t="str">
            <v>DSP844</v>
          </cell>
          <cell r="B129" t="str">
            <v>DSP</v>
          </cell>
          <cell r="C129">
            <v>844</v>
          </cell>
          <cell r="D129">
            <v>45142</v>
          </cell>
          <cell r="E129" t="str">
            <v>RUA DR. HAMILTON PRADO , 469</v>
          </cell>
          <cell r="F129" t="str">
            <v>CENTRO</v>
          </cell>
          <cell r="G129" t="str">
            <v>FRANCO DA ROCHA</v>
          </cell>
          <cell r="H129" t="str">
            <v>SP SUL</v>
          </cell>
          <cell r="I129" t="str">
            <v>T</v>
          </cell>
          <cell r="J129">
            <v>12</v>
          </cell>
          <cell r="K129">
            <v>0</v>
          </cell>
          <cell r="L129" t="str">
            <v>ELAINE/YGOR/GLEDSON</v>
          </cell>
          <cell r="M129" t="str">
            <v>01 VAN</v>
          </cell>
          <cell r="N129">
            <v>0.75</v>
          </cell>
        </row>
        <row r="130">
          <cell r="A130" t="str">
            <v>OXX1095513</v>
          </cell>
          <cell r="B130" t="str">
            <v>OXX</v>
          </cell>
          <cell r="C130">
            <v>1095513</v>
          </cell>
          <cell r="D130">
            <v>45142</v>
          </cell>
          <cell r="E130" t="str">
            <v>RUA ROSA DE SIQUEIRA , 395</v>
          </cell>
          <cell r="F130" t="str">
            <v>CAMPESTRE - VITÓRIA RÉGIA</v>
          </cell>
          <cell r="G130" t="str">
            <v>SANTO ANDRÉ</v>
          </cell>
          <cell r="H130" t="str">
            <v>SP SUL X</v>
          </cell>
          <cell r="I130" t="str">
            <v>P</v>
          </cell>
          <cell r="J130">
            <v>3</v>
          </cell>
          <cell r="K130" t="str">
            <v>DIURNO</v>
          </cell>
          <cell r="L130" t="str">
            <v>RAYANE</v>
          </cell>
          <cell r="M130" t="str">
            <v>UBER</v>
          </cell>
          <cell r="N130">
            <v>0.3125</v>
          </cell>
        </row>
        <row r="131">
          <cell r="A131" t="str">
            <v>OXX1095597</v>
          </cell>
          <cell r="B131" t="str">
            <v>OXX</v>
          </cell>
          <cell r="C131">
            <v>1095597</v>
          </cell>
          <cell r="D131">
            <v>45142</v>
          </cell>
          <cell r="E131" t="str">
            <v>ALAMEDA SANTO AMARO , 249</v>
          </cell>
          <cell r="F131" t="str">
            <v>SANTO AMARO - ALAMEDA</v>
          </cell>
          <cell r="G131" t="str">
            <v>SÃO PAULO</v>
          </cell>
          <cell r="H131" t="str">
            <v>SP SUL X</v>
          </cell>
          <cell r="I131" t="str">
            <v>P</v>
          </cell>
          <cell r="J131">
            <v>3</v>
          </cell>
          <cell r="K131" t="str">
            <v>DIURNO</v>
          </cell>
          <cell r="L131" t="str">
            <v>CLAUDIA</v>
          </cell>
          <cell r="M131" t="str">
            <v>NÃO</v>
          </cell>
          <cell r="N131" t="str">
            <v>NÃO</v>
          </cell>
        </row>
        <row r="132">
          <cell r="A132" t="str">
            <v>OXX1098964</v>
          </cell>
          <cell r="B132" t="str">
            <v>OXX</v>
          </cell>
          <cell r="C132">
            <v>1098964</v>
          </cell>
          <cell r="D132">
            <v>45142</v>
          </cell>
          <cell r="E132" t="str">
            <v>RUA AFONSINA , 512</v>
          </cell>
          <cell r="F132" t="str">
            <v>RUDGE RAMOS - ABRÃO SALOTTI</v>
          </cell>
          <cell r="G132" t="str">
            <v>SÃO BERNARDO DO CAMPO</v>
          </cell>
          <cell r="H132" t="str">
            <v>SP SUL X</v>
          </cell>
          <cell r="I132" t="str">
            <v>P</v>
          </cell>
          <cell r="J132">
            <v>3</v>
          </cell>
          <cell r="K132" t="str">
            <v>DIURNO</v>
          </cell>
          <cell r="L132" t="str">
            <v>ANDRÉ</v>
          </cell>
          <cell r="M132" t="str">
            <v>UBER</v>
          </cell>
          <cell r="N132">
            <v>0.3125</v>
          </cell>
        </row>
        <row r="133">
          <cell r="A133" t="str">
            <v>OXX1100138</v>
          </cell>
          <cell r="B133" t="str">
            <v>OXX</v>
          </cell>
          <cell r="C133">
            <v>1100138</v>
          </cell>
          <cell r="D133">
            <v>45142</v>
          </cell>
          <cell r="E133" t="str">
            <v>RUA ANTÔNIO TAVARES , 242</v>
          </cell>
          <cell r="F133" t="str">
            <v>CAMBUCI - LACERDA</v>
          </cell>
          <cell r="G133" t="str">
            <v>SÃO PAULO</v>
          </cell>
          <cell r="H133" t="str">
            <v>SP SUL X</v>
          </cell>
          <cell r="I133" t="str">
            <v>P</v>
          </cell>
          <cell r="J133">
            <v>3</v>
          </cell>
          <cell r="K133" t="str">
            <v>DIURNO</v>
          </cell>
          <cell r="L133" t="str">
            <v>JÉSSICA</v>
          </cell>
          <cell r="M133" t="str">
            <v>NÃO</v>
          </cell>
          <cell r="N133" t="str">
            <v>NÃO</v>
          </cell>
        </row>
        <row r="134">
          <cell r="A134" t="str">
            <v>SHX1087454</v>
          </cell>
          <cell r="B134" t="str">
            <v>SHX</v>
          </cell>
          <cell r="C134">
            <v>1087454</v>
          </cell>
          <cell r="D134">
            <v>45142</v>
          </cell>
          <cell r="E134" t="str">
            <v>AV : PADRE ANCHIETA , 600</v>
          </cell>
          <cell r="F134" t="str">
            <v>JORDANÓPOLIS</v>
          </cell>
          <cell r="G134" t="str">
            <v>SÃO BERNARDO DO CAMPO</v>
          </cell>
          <cell r="H134" t="str">
            <v>SP SUL X</v>
          </cell>
          <cell r="I134" t="str">
            <v>P</v>
          </cell>
          <cell r="J134">
            <v>2</v>
          </cell>
          <cell r="K134" t="str">
            <v>DIURNO</v>
          </cell>
          <cell r="L134" t="str">
            <v>NATHALIA</v>
          </cell>
          <cell r="M134" t="str">
            <v>UBER</v>
          </cell>
          <cell r="N134">
            <v>0.3125</v>
          </cell>
        </row>
        <row r="135">
          <cell r="A135" t="str">
            <v/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 t="str">
            <v>Total</v>
          </cell>
          <cell r="J135">
            <v>92</v>
          </cell>
          <cell r="K135">
            <v>498</v>
          </cell>
          <cell r="L135">
            <v>0</v>
          </cell>
          <cell r="M135">
            <v>0</v>
          </cell>
          <cell r="N135">
            <v>0</v>
          </cell>
        </row>
        <row r="136">
          <cell r="A136" t="str">
            <v/>
          </cell>
          <cell r="B136">
            <v>0</v>
          </cell>
          <cell r="C136">
            <v>0</v>
          </cell>
          <cell r="D136">
            <v>0</v>
          </cell>
          <cell r="E136">
            <v>45143</v>
          </cell>
          <cell r="F136" t="str">
            <v>SÁBADO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 t="str">
            <v>HORF060</v>
          </cell>
          <cell r="B137" t="str">
            <v>HOR</v>
          </cell>
          <cell r="C137" t="str">
            <v>F060</v>
          </cell>
          <cell r="D137">
            <v>45143</v>
          </cell>
          <cell r="E137" t="str">
            <v>ESTRADA CACHAMORRA , 200</v>
          </cell>
          <cell r="F137" t="str">
            <v>CAMPO GRANDE</v>
          </cell>
          <cell r="G137" t="str">
            <v>RIO DE JANEIRO</v>
          </cell>
          <cell r="H137" t="str">
            <v>RJ</v>
          </cell>
          <cell r="I137" t="str">
            <v>T</v>
          </cell>
          <cell r="J137">
            <v>20</v>
          </cell>
          <cell r="K137">
            <v>0</v>
          </cell>
          <cell r="L137" t="str">
            <v>ANTÔNIO</v>
          </cell>
          <cell r="M137" t="str">
            <v>NÃO</v>
          </cell>
          <cell r="N137" t="str">
            <v>NÃO</v>
          </cell>
        </row>
        <row r="138">
          <cell r="A138" t="str">
            <v>RVL2</v>
          </cell>
          <cell r="B138" t="str">
            <v>RVL</v>
          </cell>
          <cell r="C138">
            <v>2</v>
          </cell>
          <cell r="D138">
            <v>45143</v>
          </cell>
          <cell r="E138" t="str">
            <v>AV : SELVAMAR , 255 - SANTI ATACADO</v>
          </cell>
          <cell r="F138" t="str">
            <v>MANGUEIRA - SANTI ATACADO</v>
          </cell>
          <cell r="G138" t="str">
            <v>PARATY ( RJ )</v>
          </cell>
          <cell r="H138" t="str">
            <v>RJ</v>
          </cell>
          <cell r="I138" t="str">
            <v>F</v>
          </cell>
          <cell r="J138">
            <v>15</v>
          </cell>
          <cell r="K138">
            <v>0</v>
          </cell>
          <cell r="L138" t="str">
            <v>A DEFINIR</v>
          </cell>
          <cell r="M138">
            <v>0</v>
          </cell>
          <cell r="N138">
            <v>0</v>
          </cell>
        </row>
        <row r="139">
          <cell r="A139" t="str">
            <v>SBS9</v>
          </cell>
          <cell r="B139" t="str">
            <v>SBS</v>
          </cell>
          <cell r="C139">
            <v>9</v>
          </cell>
          <cell r="D139">
            <v>45143</v>
          </cell>
          <cell r="E139" t="str">
            <v>RODOVIA DA CONVENÇÃO , 1455</v>
          </cell>
          <cell r="F139" t="str">
            <v>CONTE - MATRIZ</v>
          </cell>
          <cell r="G139" t="str">
            <v>SALTO</v>
          </cell>
          <cell r="H139" t="str">
            <v>SP INT LIMEIRA</v>
          </cell>
          <cell r="I139" t="str">
            <v>T</v>
          </cell>
          <cell r="J139">
            <v>7</v>
          </cell>
          <cell r="K139" t="str">
            <v>DIURNO</v>
          </cell>
          <cell r="L139" t="str">
            <v>GUSTAVO</v>
          </cell>
          <cell r="M139" t="str">
            <v>01 VAN</v>
          </cell>
          <cell r="N139">
            <v>0.33333333333333331</v>
          </cell>
        </row>
        <row r="140">
          <cell r="A140" t="str">
            <v>CFX1681</v>
          </cell>
          <cell r="B140" t="str">
            <v>CFX</v>
          </cell>
          <cell r="C140">
            <v>1681</v>
          </cell>
          <cell r="D140">
            <v>45143</v>
          </cell>
          <cell r="E140" t="str">
            <v>AV : TUCUNARÉ , 125 - TÉRREO</v>
          </cell>
          <cell r="F140" t="str">
            <v>TAMBORÉ - MATRIZ</v>
          </cell>
          <cell r="G140" t="str">
            <v>BARUERI</v>
          </cell>
          <cell r="H140" t="str">
            <v>SP SUL</v>
          </cell>
          <cell r="I140" t="str">
            <v>T</v>
          </cell>
          <cell r="J140">
            <v>5</v>
          </cell>
          <cell r="K140" t="str">
            <v>DIURNO</v>
          </cell>
          <cell r="L140" t="str">
            <v>FERNANDO/DÉBORA</v>
          </cell>
          <cell r="M140" t="str">
            <v>UBER</v>
          </cell>
          <cell r="N140">
            <v>0.25</v>
          </cell>
        </row>
        <row r="141">
          <cell r="A141" t="str">
            <v/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 t="str">
            <v>Total</v>
          </cell>
          <cell r="J141">
            <v>47</v>
          </cell>
          <cell r="K141">
            <v>543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/>
          </cell>
          <cell r="B142">
            <v>0</v>
          </cell>
          <cell r="C142">
            <v>0</v>
          </cell>
          <cell r="D142">
            <v>0</v>
          </cell>
          <cell r="E142">
            <v>45144</v>
          </cell>
          <cell r="F142" t="str">
            <v>DOMINGO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 t="str">
            <v>RVL2</v>
          </cell>
          <cell r="B143" t="str">
            <v>RVL</v>
          </cell>
          <cell r="C143">
            <v>2</v>
          </cell>
          <cell r="D143">
            <v>45144</v>
          </cell>
          <cell r="E143" t="str">
            <v>AV : SELVAMAR , 255 - SANTI ATACADO</v>
          </cell>
          <cell r="F143" t="str">
            <v>MANGUEIRA - SANTI ATACADO</v>
          </cell>
          <cell r="G143" t="str">
            <v>PARATY ( RJ )</v>
          </cell>
          <cell r="H143" t="str">
            <v>RJ</v>
          </cell>
          <cell r="I143" t="str">
            <v>T</v>
          </cell>
          <cell r="J143">
            <v>15</v>
          </cell>
          <cell r="K143" t="str">
            <v>DIURNO</v>
          </cell>
          <cell r="L143" t="str">
            <v>A DEFINIR</v>
          </cell>
          <cell r="M143" t="str">
            <v>01 VAN</v>
          </cell>
          <cell r="N143">
            <v>0.29166666666666669</v>
          </cell>
        </row>
        <row r="144">
          <cell r="A144" t="str">
            <v>EXS1757</v>
          </cell>
          <cell r="B144" t="str">
            <v>EXS</v>
          </cell>
          <cell r="C144">
            <v>1757</v>
          </cell>
          <cell r="D144">
            <v>45144</v>
          </cell>
          <cell r="E144" t="str">
            <v xml:space="preserve">AV : PRESIDENTE WILSON , 903       </v>
          </cell>
          <cell r="F144" t="str">
            <v>CENTRO</v>
          </cell>
          <cell r="G144" t="str">
            <v>SÃO VICENTE</v>
          </cell>
          <cell r="H144" t="str">
            <v>SP LESTE</v>
          </cell>
          <cell r="I144" t="str">
            <v>T</v>
          </cell>
          <cell r="J144">
            <v>52</v>
          </cell>
          <cell r="K144">
            <v>0</v>
          </cell>
          <cell r="L144" t="str">
            <v>PATRÍCIA/LUANA/LUÍS</v>
          </cell>
          <cell r="M144" t="str">
            <v>03 VANS e 01 CARRO</v>
          </cell>
          <cell r="N144">
            <v>0.66666666666666663</v>
          </cell>
        </row>
        <row r="145">
          <cell r="A145" t="str">
            <v>EXS1875</v>
          </cell>
          <cell r="B145" t="str">
            <v>EXS</v>
          </cell>
          <cell r="C145">
            <v>1875</v>
          </cell>
          <cell r="D145">
            <v>45144</v>
          </cell>
          <cell r="E145" t="str">
            <v>ESTRADA DO PERNAMBUCO , 500</v>
          </cell>
          <cell r="F145" t="str">
            <v>PRAIA DE PERNAMBUCO</v>
          </cell>
          <cell r="G145" t="str">
            <v>GUARUJÁ</v>
          </cell>
          <cell r="H145" t="str">
            <v>SP SUL</v>
          </cell>
          <cell r="I145" t="str">
            <v>T</v>
          </cell>
          <cell r="J145">
            <v>36</v>
          </cell>
          <cell r="K145">
            <v>0</v>
          </cell>
          <cell r="L145" t="str">
            <v>VIANA/RUAN/CARLOS</v>
          </cell>
          <cell r="M145" t="str">
            <v>01 VAN de 18 e 01 VAN</v>
          </cell>
          <cell r="N145">
            <v>0.66666666666666663</v>
          </cell>
        </row>
        <row r="146">
          <cell r="A146" t="str">
            <v/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 t="str">
            <v>Total</v>
          </cell>
          <cell r="J146">
            <v>103</v>
          </cell>
          <cell r="K146">
            <v>487</v>
          </cell>
          <cell r="L146">
            <v>0</v>
          </cell>
          <cell r="M146">
            <v>0</v>
          </cell>
          <cell r="N146">
            <v>0</v>
          </cell>
        </row>
        <row r="147">
          <cell r="A147" t="str">
            <v/>
          </cell>
          <cell r="B147">
            <v>0</v>
          </cell>
          <cell r="C147">
            <v>0</v>
          </cell>
          <cell r="D147">
            <v>0</v>
          </cell>
          <cell r="E147">
            <v>45145</v>
          </cell>
          <cell r="F147" t="str">
            <v>SEGUNDA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 t="str">
            <v>CFO1152</v>
          </cell>
          <cell r="B148" t="str">
            <v>CFO</v>
          </cell>
          <cell r="C148">
            <v>1152</v>
          </cell>
          <cell r="D148">
            <v>45145</v>
          </cell>
          <cell r="E148" t="str">
            <v>AV : PRES. VARGAS , 880</v>
          </cell>
          <cell r="F148" t="str">
            <v>CENTRO</v>
          </cell>
          <cell r="G148" t="str">
            <v>ESTEIO</v>
          </cell>
          <cell r="H148" t="str">
            <v>PORTO ALEGRE</v>
          </cell>
          <cell r="I148" t="str">
            <v>PNA</v>
          </cell>
          <cell r="J148">
            <v>17</v>
          </cell>
          <cell r="K148">
            <v>0</v>
          </cell>
          <cell r="L148" t="str">
            <v>PAVAN</v>
          </cell>
          <cell r="M148" t="str">
            <v>NÃO</v>
          </cell>
          <cell r="N148" t="str">
            <v>NÃO</v>
          </cell>
        </row>
        <row r="149">
          <cell r="A149" t="str">
            <v>FSJ63</v>
          </cell>
          <cell r="B149" t="str">
            <v>FSJ</v>
          </cell>
          <cell r="C149">
            <v>63</v>
          </cell>
          <cell r="D149">
            <v>45145</v>
          </cell>
          <cell r="E149" t="str">
            <v xml:space="preserve">AV : BENTO GONÇALVES , 3819 </v>
          </cell>
          <cell r="F149" t="str">
            <v>CENTRO - PEL 03</v>
          </cell>
          <cell r="G149" t="str">
            <v>PELOTAS</v>
          </cell>
          <cell r="H149" t="str">
            <v>PORTO ALEGRE</v>
          </cell>
          <cell r="I149" t="str">
            <v>T</v>
          </cell>
          <cell r="J149">
            <v>10</v>
          </cell>
          <cell r="K149" t="str">
            <v>EQ. PELOTAS</v>
          </cell>
          <cell r="L149" t="str">
            <v>PATRINE</v>
          </cell>
          <cell r="M149" t="str">
            <v>NÃO</v>
          </cell>
          <cell r="N149" t="str">
            <v>NÃO</v>
          </cell>
        </row>
        <row r="150">
          <cell r="A150" t="str">
            <v>NAC1480</v>
          </cell>
          <cell r="B150" t="str">
            <v>NAC</v>
          </cell>
          <cell r="C150">
            <v>1480</v>
          </cell>
          <cell r="D150">
            <v>45145</v>
          </cell>
          <cell r="E150" t="str">
            <v>AV : JOSÉ DE ALENCAR , 998</v>
          </cell>
          <cell r="F150" t="str">
            <v>MENINO DEUS</v>
          </cell>
          <cell r="G150" t="str">
            <v>PORTO ALEGRE</v>
          </cell>
          <cell r="H150" t="str">
            <v>PORTO ALEGRE</v>
          </cell>
          <cell r="I150" t="str">
            <v>T</v>
          </cell>
          <cell r="J150">
            <v>20</v>
          </cell>
          <cell r="K150">
            <v>0</v>
          </cell>
          <cell r="L150" t="str">
            <v>HEVERTON</v>
          </cell>
          <cell r="M150" t="str">
            <v>NÃO</v>
          </cell>
          <cell r="N150" t="str">
            <v>NÃO</v>
          </cell>
        </row>
        <row r="151">
          <cell r="A151" t="str">
            <v>SAM4857</v>
          </cell>
          <cell r="B151" t="str">
            <v>SAM</v>
          </cell>
          <cell r="C151">
            <v>4857</v>
          </cell>
          <cell r="D151">
            <v>45145</v>
          </cell>
          <cell r="E151" t="str">
            <v>BR 277 RODOVIA CURITIBA x PONTA GROSSA , 65</v>
          </cell>
          <cell r="F151" t="str">
            <v>BARIGUI</v>
          </cell>
          <cell r="G151" t="str">
            <v>CURITIBA</v>
          </cell>
          <cell r="H151" t="str">
            <v>PR CURITIBA</v>
          </cell>
          <cell r="I151" t="str">
            <v>CA</v>
          </cell>
          <cell r="J151">
            <v>13</v>
          </cell>
          <cell r="K151">
            <v>0</v>
          </cell>
          <cell r="L151" t="str">
            <v>HENRIQUE</v>
          </cell>
          <cell r="M151" t="str">
            <v>NÃO</v>
          </cell>
          <cell r="N151" t="str">
            <v>NÃO</v>
          </cell>
        </row>
        <row r="152">
          <cell r="A152" t="str">
            <v>VVE26</v>
          </cell>
          <cell r="B152" t="str">
            <v>VVE</v>
          </cell>
          <cell r="C152">
            <v>26</v>
          </cell>
          <cell r="D152">
            <v>45145</v>
          </cell>
          <cell r="E152" t="str">
            <v>AV : PARANÁ , 71 - SALAS 03 e 04</v>
          </cell>
          <cell r="F152" t="str">
            <v>CENTRO</v>
          </cell>
          <cell r="G152" t="str">
            <v>LONDRINA</v>
          </cell>
          <cell r="H152" t="str">
            <v>PR LONDRINA</v>
          </cell>
          <cell r="I152" t="str">
            <v>T</v>
          </cell>
          <cell r="J152">
            <v>4</v>
          </cell>
          <cell r="K152">
            <v>0</v>
          </cell>
          <cell r="L152" t="str">
            <v>MARIANA</v>
          </cell>
          <cell r="M152" t="str">
            <v>NÃO</v>
          </cell>
          <cell r="N152" t="str">
            <v>NÃO</v>
          </cell>
        </row>
        <row r="153">
          <cell r="A153" t="str">
            <v>PVI126</v>
          </cell>
          <cell r="B153" t="str">
            <v>PVI</v>
          </cell>
          <cell r="C153">
            <v>126</v>
          </cell>
          <cell r="D153">
            <v>45145</v>
          </cell>
          <cell r="E153" t="str">
            <v>AV : AFRÂNIO DE MELO FRANCO , 290 - LEBLON</v>
          </cell>
          <cell r="F153" t="str">
            <v>SHOPPING LEBLON</v>
          </cell>
          <cell r="G153" t="str">
            <v>RIO DE JANEIRO</v>
          </cell>
          <cell r="H153" t="str">
            <v>RJ</v>
          </cell>
          <cell r="I153" t="str">
            <v>T</v>
          </cell>
          <cell r="J153">
            <v>4</v>
          </cell>
          <cell r="K153">
            <v>0</v>
          </cell>
          <cell r="L153" t="str">
            <v>ANTÔNIO</v>
          </cell>
          <cell r="M153" t="str">
            <v>NÃO</v>
          </cell>
          <cell r="N153" t="str">
            <v>NÃO</v>
          </cell>
        </row>
        <row r="154">
          <cell r="A154" t="str">
            <v>JAU37</v>
          </cell>
          <cell r="B154" t="str">
            <v>JAU</v>
          </cell>
          <cell r="C154">
            <v>37</v>
          </cell>
          <cell r="D154">
            <v>45145</v>
          </cell>
          <cell r="E154" t="str">
            <v>AV : DR. JOSÉ ERINEU ORTIGOSA , 774</v>
          </cell>
          <cell r="F154" t="str">
            <v>DISTRITO INDUSTRIAL</v>
          </cell>
          <cell r="G154" t="str">
            <v>BARRA BONITA</v>
          </cell>
          <cell r="H154" t="str">
            <v>SP INT BAURU</v>
          </cell>
          <cell r="I154" t="str">
            <v>T</v>
          </cell>
          <cell r="J154">
            <v>28</v>
          </cell>
          <cell r="K154">
            <v>0</v>
          </cell>
          <cell r="L154" t="str">
            <v>ROSÂNGELA</v>
          </cell>
          <cell r="M154" t="str">
            <v>02 VANS</v>
          </cell>
          <cell r="N154">
            <v>0.6875</v>
          </cell>
        </row>
        <row r="155">
          <cell r="A155" t="str">
            <v>OXX1085809</v>
          </cell>
          <cell r="B155" t="str">
            <v>OXX</v>
          </cell>
          <cell r="C155">
            <v>1085809</v>
          </cell>
          <cell r="D155">
            <v>45145</v>
          </cell>
          <cell r="E155" t="str">
            <v>RUA GENERAL OSÓRIO , 382</v>
          </cell>
          <cell r="F155" t="str">
            <v>CENTRO - CAMPOS SALES</v>
          </cell>
          <cell r="G155" t="str">
            <v>CAMPINAS</v>
          </cell>
          <cell r="H155" t="str">
            <v>SP INT CPN</v>
          </cell>
          <cell r="I155" t="str">
            <v>P</v>
          </cell>
          <cell r="J155">
            <v>3</v>
          </cell>
          <cell r="K155" t="str">
            <v>DIURNO</v>
          </cell>
          <cell r="L155" t="str">
            <v>IZABELA/THALIA</v>
          </cell>
          <cell r="M155" t="str">
            <v>NÃO</v>
          </cell>
          <cell r="N155" t="str">
            <v>NÃO</v>
          </cell>
        </row>
        <row r="156">
          <cell r="A156" t="str">
            <v>OXX1086367</v>
          </cell>
          <cell r="B156" t="str">
            <v>OXX</v>
          </cell>
          <cell r="C156">
            <v>1086367</v>
          </cell>
          <cell r="D156">
            <v>45145</v>
          </cell>
          <cell r="E156" t="str">
            <v>RUA DR. RUBERLEI BOARETTO , 1020</v>
          </cell>
          <cell r="F156" t="str">
            <v>CID. UNIVERSITÁRIA - UNICAMP</v>
          </cell>
          <cell r="G156" t="str">
            <v>CAMPINAS</v>
          </cell>
          <cell r="H156" t="str">
            <v>SP INT CPN</v>
          </cell>
          <cell r="I156" t="str">
            <v>P</v>
          </cell>
          <cell r="J156">
            <v>3</v>
          </cell>
          <cell r="K156" t="str">
            <v>DIURNO</v>
          </cell>
          <cell r="L156" t="str">
            <v>LETÍCIA/EVA</v>
          </cell>
          <cell r="M156" t="str">
            <v>NÃO</v>
          </cell>
          <cell r="N156" t="str">
            <v>NÃO</v>
          </cell>
        </row>
        <row r="157">
          <cell r="A157" t="str">
            <v>OXX1087645</v>
          </cell>
          <cell r="B157" t="str">
            <v>OXX</v>
          </cell>
          <cell r="C157">
            <v>1087645</v>
          </cell>
          <cell r="D157">
            <v>45145</v>
          </cell>
          <cell r="E157" t="str">
            <v>RUA FERREIRA PENTEADO , 1578</v>
          </cell>
          <cell r="F157" t="str">
            <v>CENTRO - QUIRINO FERREIRA</v>
          </cell>
          <cell r="G157" t="str">
            <v>CAMPINAS</v>
          </cell>
          <cell r="H157" t="str">
            <v>SP INT CPN</v>
          </cell>
          <cell r="I157" t="str">
            <v>P</v>
          </cell>
          <cell r="J157">
            <v>3</v>
          </cell>
          <cell r="K157" t="str">
            <v>DIURNO</v>
          </cell>
          <cell r="L157" t="str">
            <v>LEONARDO</v>
          </cell>
          <cell r="M157" t="str">
            <v>NÃO</v>
          </cell>
          <cell r="N157" t="str">
            <v>NÃO</v>
          </cell>
        </row>
        <row r="158">
          <cell r="A158" t="str">
            <v>DSP309</v>
          </cell>
          <cell r="B158" t="str">
            <v>DSP</v>
          </cell>
          <cell r="C158">
            <v>309</v>
          </cell>
          <cell r="D158">
            <v>45145</v>
          </cell>
          <cell r="E158" t="str">
            <v>AV : DR. ÂNGELO SIMÕES , 1074</v>
          </cell>
          <cell r="F158" t="str">
            <v>JD. LEONOR - 24h</v>
          </cell>
          <cell r="G158" t="str">
            <v>CAMPINAS</v>
          </cell>
          <cell r="H158" t="str">
            <v>SP INT LIMEIRA</v>
          </cell>
          <cell r="I158" t="str">
            <v>T</v>
          </cell>
          <cell r="J158">
            <v>14</v>
          </cell>
          <cell r="K158">
            <v>0</v>
          </cell>
          <cell r="L158" t="str">
            <v>GUSTAVO</v>
          </cell>
          <cell r="M158" t="str">
            <v>01 VAN</v>
          </cell>
          <cell r="N158">
            <v>0.77083333333333337</v>
          </cell>
        </row>
        <row r="159">
          <cell r="A159" t="str">
            <v>DSP273</v>
          </cell>
          <cell r="B159" t="str">
            <v>DSP</v>
          </cell>
          <cell r="C159">
            <v>273</v>
          </cell>
          <cell r="D159">
            <v>45145</v>
          </cell>
          <cell r="E159" t="str">
            <v>AV : DAS NAÇÕES , 826</v>
          </cell>
          <cell r="F159" t="str">
            <v>PQ. NOVO ORATÓRIO - POSTO SHELL - 24h</v>
          </cell>
          <cell r="G159" t="str">
            <v>SANTO ANDRÉ</v>
          </cell>
          <cell r="H159" t="str">
            <v>SP INT SJC</v>
          </cell>
          <cell r="I159" t="str">
            <v>T</v>
          </cell>
          <cell r="J159">
            <v>13</v>
          </cell>
          <cell r="K159">
            <v>0</v>
          </cell>
          <cell r="L159" t="str">
            <v>JAÍNE</v>
          </cell>
          <cell r="M159" t="str">
            <v>01 VAN</v>
          </cell>
          <cell r="N159">
            <v>0.75</v>
          </cell>
        </row>
        <row r="160">
          <cell r="A160" t="str">
            <v>CFX573</v>
          </cell>
          <cell r="B160" t="str">
            <v>CFX</v>
          </cell>
          <cell r="C160">
            <v>573</v>
          </cell>
          <cell r="D160">
            <v>45145</v>
          </cell>
          <cell r="E160" t="str">
            <v>AV : DA LIBERDADE , 896</v>
          </cell>
          <cell r="F160" t="str">
            <v>LIBERDADE</v>
          </cell>
          <cell r="G160" t="str">
            <v>SÃO PAULO</v>
          </cell>
          <cell r="H160" t="str">
            <v>SP LESTE</v>
          </cell>
          <cell r="I160" t="str">
            <v>T</v>
          </cell>
          <cell r="J160">
            <v>6</v>
          </cell>
          <cell r="K160">
            <v>0</v>
          </cell>
          <cell r="L160" t="str">
            <v>LUÍS/ANTÔNIO</v>
          </cell>
          <cell r="M160" t="str">
            <v>NÃO</v>
          </cell>
          <cell r="N160" t="str">
            <v>NÃO</v>
          </cell>
        </row>
        <row r="161">
          <cell r="A161" t="str">
            <v>CFX671</v>
          </cell>
          <cell r="B161" t="str">
            <v>CFX</v>
          </cell>
          <cell r="C161">
            <v>671</v>
          </cell>
          <cell r="D161">
            <v>45145</v>
          </cell>
          <cell r="E161" t="str">
            <v>AV : PAULISTA , 2300</v>
          </cell>
          <cell r="F161" t="str">
            <v>CONSOLAÇÃO</v>
          </cell>
          <cell r="G161" t="str">
            <v>SÃO PAULO</v>
          </cell>
          <cell r="H161" t="str">
            <v>SP LESTE</v>
          </cell>
          <cell r="I161" t="str">
            <v>T</v>
          </cell>
          <cell r="J161">
            <v>10</v>
          </cell>
          <cell r="K161">
            <v>0</v>
          </cell>
          <cell r="L161" t="str">
            <v>PATRÍCIA</v>
          </cell>
          <cell r="M161" t="str">
            <v>NÃO</v>
          </cell>
          <cell r="N161" t="str">
            <v>NÃO</v>
          </cell>
        </row>
        <row r="162">
          <cell r="A162" t="str">
            <v>DSP345</v>
          </cell>
          <cell r="B162" t="str">
            <v>DSP</v>
          </cell>
          <cell r="C162">
            <v>345</v>
          </cell>
          <cell r="D162">
            <v>45145</v>
          </cell>
          <cell r="E162" t="str">
            <v>AV : PORTUGAL , 602</v>
          </cell>
          <cell r="F162" t="str">
            <v>CENTRO - 24h</v>
          </cell>
          <cell r="G162" t="str">
            <v>SANTO ANDRÉ</v>
          </cell>
          <cell r="H162" t="str">
            <v>SP LESTE</v>
          </cell>
          <cell r="I162" t="str">
            <v>T</v>
          </cell>
          <cell r="J162">
            <v>13</v>
          </cell>
          <cell r="K162">
            <v>0</v>
          </cell>
          <cell r="L162" t="str">
            <v>JÉSSICA/CHRIS</v>
          </cell>
          <cell r="M162" t="str">
            <v>01 VAN</v>
          </cell>
          <cell r="N162">
            <v>0.75</v>
          </cell>
        </row>
        <row r="163">
          <cell r="A163" t="str">
            <v>DSP481</v>
          </cell>
          <cell r="B163" t="str">
            <v>DSP</v>
          </cell>
          <cell r="C163">
            <v>481</v>
          </cell>
          <cell r="D163">
            <v>45145</v>
          </cell>
          <cell r="E163" t="str">
            <v>RUA TEN AVELAR PIRES DE AZEVEDO , 81</v>
          </cell>
          <cell r="F163" t="str">
            <v>OSASCO PLAZA SHOPPING</v>
          </cell>
          <cell r="G163" t="str">
            <v>OSASCO</v>
          </cell>
          <cell r="H163" t="str">
            <v>SP LESTE</v>
          </cell>
          <cell r="I163" t="str">
            <v>T</v>
          </cell>
          <cell r="J163">
            <v>9</v>
          </cell>
          <cell r="K163">
            <v>0</v>
          </cell>
          <cell r="L163" t="str">
            <v>LUANA</v>
          </cell>
          <cell r="M163" t="str">
            <v>NÃO</v>
          </cell>
          <cell r="N163" t="str">
            <v>NÃO</v>
          </cell>
        </row>
        <row r="164">
          <cell r="A164" t="str">
            <v>DSP835</v>
          </cell>
          <cell r="B164" t="str">
            <v>DSP</v>
          </cell>
          <cell r="C164">
            <v>835</v>
          </cell>
          <cell r="D164">
            <v>45145</v>
          </cell>
          <cell r="E164" t="str">
            <v>RUA PADRE ALBUQUERQUE , 1130 / 1134</v>
          </cell>
          <cell r="F164" t="str">
            <v>CENTRO</v>
          </cell>
          <cell r="G164" t="str">
            <v>ITAPETININGA</v>
          </cell>
          <cell r="H164" t="str">
            <v>SP LESTE</v>
          </cell>
          <cell r="I164" t="str">
            <v>T</v>
          </cell>
          <cell r="J164">
            <v>12</v>
          </cell>
          <cell r="K164">
            <v>0</v>
          </cell>
          <cell r="L164" t="str">
            <v>MARCELO</v>
          </cell>
          <cell r="M164" t="str">
            <v>01 VAN</v>
          </cell>
          <cell r="N164">
            <v>0.70833333333333337</v>
          </cell>
        </row>
        <row r="165">
          <cell r="A165" t="str">
            <v>PMO28</v>
          </cell>
          <cell r="B165" t="str">
            <v>PMO</v>
          </cell>
          <cell r="C165">
            <v>28</v>
          </cell>
          <cell r="D165">
            <v>45145</v>
          </cell>
          <cell r="E165" t="str">
            <v>AV : SANTA INÊS , 1150</v>
          </cell>
          <cell r="F165" t="str">
            <v>PQ. MANDAQUI - SANTA INÊS</v>
          </cell>
          <cell r="G165" t="str">
            <v>SÃO PAULO</v>
          </cell>
          <cell r="H165" t="str">
            <v>SP LESTE</v>
          </cell>
          <cell r="I165" t="str">
            <v>T</v>
          </cell>
          <cell r="J165">
            <v>5</v>
          </cell>
          <cell r="K165">
            <v>0</v>
          </cell>
          <cell r="L165" t="str">
            <v>TAMIRES</v>
          </cell>
          <cell r="M165" t="str">
            <v>NÃO</v>
          </cell>
          <cell r="N165" t="str">
            <v>NÃO</v>
          </cell>
        </row>
        <row r="166">
          <cell r="A166" t="str">
            <v>OXX1097253</v>
          </cell>
          <cell r="B166" t="str">
            <v>OXX</v>
          </cell>
          <cell r="C166">
            <v>1097253</v>
          </cell>
          <cell r="D166">
            <v>45145</v>
          </cell>
          <cell r="E166" t="str">
            <v>AV : CONSELHEIRO CARRÃO , 769</v>
          </cell>
          <cell r="F166" t="str">
            <v>VILA CARRÃO - LAVVI</v>
          </cell>
          <cell r="G166" t="str">
            <v>SÃO PAULO</v>
          </cell>
          <cell r="H166" t="str">
            <v>SP LESTE X</v>
          </cell>
          <cell r="I166" t="str">
            <v>P</v>
          </cell>
          <cell r="J166">
            <v>3</v>
          </cell>
          <cell r="K166" t="str">
            <v>DIURNO</v>
          </cell>
          <cell r="L166" t="str">
            <v>CÁSSIA</v>
          </cell>
          <cell r="M166" t="str">
            <v>NÃO</v>
          </cell>
          <cell r="N166" t="str">
            <v>NÃO</v>
          </cell>
        </row>
        <row r="167">
          <cell r="A167" t="str">
            <v>OXX1098807</v>
          </cell>
          <cell r="B167" t="str">
            <v>OXX</v>
          </cell>
          <cell r="C167">
            <v>1098807</v>
          </cell>
          <cell r="D167">
            <v>45145</v>
          </cell>
          <cell r="E167" t="str">
            <v>RUA MONTE ALEGRE , 163</v>
          </cell>
          <cell r="F167" t="str">
            <v>SANTO ANTÔNIO - MONTE ALEGRE</v>
          </cell>
          <cell r="G167" t="str">
            <v>SÃO CAETANO DO SUL</v>
          </cell>
          <cell r="H167" t="str">
            <v>SP LESTE X</v>
          </cell>
          <cell r="I167" t="str">
            <v>P</v>
          </cell>
          <cell r="J167">
            <v>3</v>
          </cell>
          <cell r="K167" t="str">
            <v>DIURNO</v>
          </cell>
          <cell r="L167" t="str">
            <v>JOSÉ WELVYS</v>
          </cell>
          <cell r="M167" t="str">
            <v>UBER</v>
          </cell>
          <cell r="N167">
            <v>0.3125</v>
          </cell>
        </row>
        <row r="168">
          <cell r="A168" t="str">
            <v>OXX1100115</v>
          </cell>
          <cell r="B168" t="str">
            <v>OXX</v>
          </cell>
          <cell r="C168">
            <v>1100115</v>
          </cell>
          <cell r="D168">
            <v>45145</v>
          </cell>
          <cell r="E168" t="str">
            <v>AV : CONCEIÇÃO , 2079</v>
          </cell>
          <cell r="F168" t="str">
            <v>VILA GUILHERME - ADEGA</v>
          </cell>
          <cell r="G168" t="str">
            <v>SÃO PAULO</v>
          </cell>
          <cell r="H168" t="str">
            <v>SP LESTE X</v>
          </cell>
          <cell r="I168" t="str">
            <v>P</v>
          </cell>
          <cell r="J168">
            <v>3</v>
          </cell>
          <cell r="K168" t="str">
            <v>DIURNO</v>
          </cell>
          <cell r="L168" t="str">
            <v>KAIQUE</v>
          </cell>
          <cell r="M168" t="str">
            <v>NÃO</v>
          </cell>
          <cell r="N168" t="str">
            <v>NÃO</v>
          </cell>
        </row>
        <row r="169">
          <cell r="A169" t="str">
            <v>OXX1100129</v>
          </cell>
          <cell r="B169" t="str">
            <v>OXX</v>
          </cell>
          <cell r="C169">
            <v>1100129</v>
          </cell>
          <cell r="D169">
            <v>45145</v>
          </cell>
          <cell r="E169" t="str">
            <v>RUA ARAPOCA , 177</v>
          </cell>
          <cell r="F169" t="str">
            <v>VILA FORMOSA - ARAPOCA</v>
          </cell>
          <cell r="G169" t="str">
            <v>SÃO PAULO</v>
          </cell>
          <cell r="H169" t="str">
            <v>SP LESTE X</v>
          </cell>
          <cell r="I169" t="str">
            <v>P</v>
          </cell>
          <cell r="J169">
            <v>3</v>
          </cell>
          <cell r="K169" t="str">
            <v>DIURNO</v>
          </cell>
          <cell r="L169" t="str">
            <v>GAMA/JOYCE</v>
          </cell>
          <cell r="M169" t="str">
            <v>NÃO</v>
          </cell>
          <cell r="N169" t="str">
            <v>NÃO</v>
          </cell>
        </row>
        <row r="170">
          <cell r="A170" t="str">
            <v>OXX1100213</v>
          </cell>
          <cell r="B170" t="str">
            <v>OXX</v>
          </cell>
          <cell r="C170">
            <v>1100213</v>
          </cell>
          <cell r="D170">
            <v>45145</v>
          </cell>
          <cell r="E170" t="str">
            <v>AV : EMÍLIO RIBAS , 1555</v>
          </cell>
          <cell r="F170" t="str">
            <v>GOPOUVA - EMÍLIO II</v>
          </cell>
          <cell r="G170" t="str">
            <v>GUARULHOS</v>
          </cell>
          <cell r="H170" t="str">
            <v>SP LESTE X</v>
          </cell>
          <cell r="I170" t="str">
            <v>P</v>
          </cell>
          <cell r="J170">
            <v>3</v>
          </cell>
          <cell r="K170" t="str">
            <v>DIURNO</v>
          </cell>
          <cell r="L170" t="str">
            <v>ANDERSON</v>
          </cell>
          <cell r="M170" t="str">
            <v>UBER</v>
          </cell>
          <cell r="N170">
            <v>0.29166666666666669</v>
          </cell>
        </row>
        <row r="171">
          <cell r="A171" t="str">
            <v>OXX1100276</v>
          </cell>
          <cell r="B171" t="str">
            <v>OXX</v>
          </cell>
          <cell r="C171">
            <v>1100276</v>
          </cell>
          <cell r="D171">
            <v>45145</v>
          </cell>
          <cell r="E171" t="str">
            <v>AV : CELSO GARCIA , 3432</v>
          </cell>
          <cell r="F171" t="str">
            <v>TATUAPÉ - CAMARÃO</v>
          </cell>
          <cell r="G171" t="str">
            <v>SÃO PAULO</v>
          </cell>
          <cell r="H171" t="str">
            <v>SP LESTE X</v>
          </cell>
          <cell r="I171" t="str">
            <v>P</v>
          </cell>
          <cell r="J171">
            <v>3</v>
          </cell>
          <cell r="K171" t="str">
            <v>DIURNO</v>
          </cell>
          <cell r="L171" t="str">
            <v>ARTHUR</v>
          </cell>
          <cell r="M171" t="str">
            <v>NÃO</v>
          </cell>
          <cell r="N171" t="str">
            <v>NÃO</v>
          </cell>
        </row>
        <row r="172">
          <cell r="A172" t="str">
            <v>CDG701</v>
          </cell>
          <cell r="B172" t="str">
            <v>CDG</v>
          </cell>
          <cell r="C172">
            <v>701</v>
          </cell>
          <cell r="D172">
            <v>45145</v>
          </cell>
          <cell r="E172" t="str">
            <v>AV : CONS. NÉBIAS , 802</v>
          </cell>
          <cell r="F172" t="str">
            <v>BOQUEIRÃO</v>
          </cell>
          <cell r="G172" t="str">
            <v>SANTOS</v>
          </cell>
          <cell r="H172" t="str">
            <v>SP SUL</v>
          </cell>
          <cell r="I172" t="str">
            <v>T</v>
          </cell>
          <cell r="J172">
            <v>6</v>
          </cell>
          <cell r="K172">
            <v>0</v>
          </cell>
          <cell r="L172" t="str">
            <v>FERNANDO/GLEDSON</v>
          </cell>
          <cell r="M172" t="str">
            <v>01 VAN de 18</v>
          </cell>
          <cell r="N172">
            <v>0.70833333333333337</v>
          </cell>
        </row>
        <row r="173">
          <cell r="A173" t="str">
            <v>CFO201</v>
          </cell>
          <cell r="B173" t="str">
            <v>CFO</v>
          </cell>
          <cell r="C173">
            <v>201</v>
          </cell>
          <cell r="D173">
            <v>45145</v>
          </cell>
          <cell r="E173" t="str">
            <v>AV : CONS. NÉBIAS , 802</v>
          </cell>
          <cell r="F173" t="str">
            <v>BOQUEIRÃO</v>
          </cell>
          <cell r="G173" t="str">
            <v>SANTOS</v>
          </cell>
          <cell r="H173" t="str">
            <v>SP SUL</v>
          </cell>
          <cell r="I173" t="str">
            <v>PNA</v>
          </cell>
          <cell r="J173">
            <v>10</v>
          </cell>
          <cell r="K173">
            <v>0</v>
          </cell>
          <cell r="L173" t="str">
            <v>JUSCELINO</v>
          </cell>
          <cell r="M173">
            <v>0</v>
          </cell>
          <cell r="N173">
            <v>0.70833333333333337</v>
          </cell>
        </row>
        <row r="174">
          <cell r="A174" t="str">
            <v>DSP41</v>
          </cell>
          <cell r="B174" t="str">
            <v>DSP</v>
          </cell>
          <cell r="C174">
            <v>41</v>
          </cell>
          <cell r="D174">
            <v>45145</v>
          </cell>
          <cell r="E174" t="str">
            <v>RUA DO ROSÁRIO , 271</v>
          </cell>
          <cell r="F174" t="str">
            <v>CENTRO</v>
          </cell>
          <cell r="G174" t="str">
            <v>JUNDIAÍ</v>
          </cell>
          <cell r="H174" t="str">
            <v>SP SUL</v>
          </cell>
          <cell r="I174" t="str">
            <v>T</v>
          </cell>
          <cell r="J174">
            <v>11</v>
          </cell>
          <cell r="K174">
            <v>0</v>
          </cell>
          <cell r="L174" t="str">
            <v>ELAINE</v>
          </cell>
          <cell r="M174" t="str">
            <v>01 VAN</v>
          </cell>
          <cell r="N174">
            <v>0.72916666666666663</v>
          </cell>
        </row>
        <row r="175">
          <cell r="A175" t="str">
            <v>DSP971</v>
          </cell>
          <cell r="B175" t="str">
            <v>DSP</v>
          </cell>
          <cell r="C175">
            <v>971</v>
          </cell>
          <cell r="D175">
            <v>45145</v>
          </cell>
          <cell r="E175" t="str">
            <v>RUA DO RETIRO , 776</v>
          </cell>
          <cell r="F175" t="str">
            <v>VILA VIRGÍNIA</v>
          </cell>
          <cell r="G175" t="str">
            <v>JUNDIAÍ</v>
          </cell>
          <cell r="H175" t="str">
            <v>SP SUL</v>
          </cell>
          <cell r="I175" t="str">
            <v>T</v>
          </cell>
          <cell r="J175">
            <v>9</v>
          </cell>
          <cell r="K175">
            <v>0</v>
          </cell>
          <cell r="L175" t="str">
            <v>YGOR/VIANA</v>
          </cell>
          <cell r="M175" t="str">
            <v>01 VAN</v>
          </cell>
          <cell r="N175">
            <v>0.72916666666666663</v>
          </cell>
        </row>
        <row r="176">
          <cell r="A176" t="str">
            <v>PVI176</v>
          </cell>
          <cell r="B176" t="str">
            <v>PVI</v>
          </cell>
          <cell r="C176">
            <v>176</v>
          </cell>
          <cell r="D176">
            <v>45145</v>
          </cell>
          <cell r="E176" t="str">
            <v>AV : BRIG. FARIA LIMA , 2232 - JD. PAULISTANO</v>
          </cell>
          <cell r="F176" t="str">
            <v>SHOPPING IGUATEMI</v>
          </cell>
          <cell r="G176" t="str">
            <v>SÃO PAULO</v>
          </cell>
          <cell r="H176" t="str">
            <v>SP SUL</v>
          </cell>
          <cell r="I176" t="str">
            <v>T</v>
          </cell>
          <cell r="J176">
            <v>7</v>
          </cell>
          <cell r="K176">
            <v>0</v>
          </cell>
          <cell r="L176" t="str">
            <v>CARLOS</v>
          </cell>
          <cell r="M176" t="str">
            <v>NÃO</v>
          </cell>
          <cell r="N176" t="str">
            <v>NÃO</v>
          </cell>
        </row>
        <row r="177">
          <cell r="A177" t="str">
            <v>STMS309</v>
          </cell>
          <cell r="B177" t="str">
            <v>STM</v>
          </cell>
          <cell r="C177" t="str">
            <v>S309</v>
          </cell>
          <cell r="D177">
            <v>45145</v>
          </cell>
          <cell r="E177" t="str">
            <v>RUA MARECHAL HASTINFILO DE MOURA , 641</v>
          </cell>
          <cell r="F177" t="str">
            <v>PORTAL DO MORUMBI</v>
          </cell>
          <cell r="G177" t="str">
            <v>SÃO PAULO</v>
          </cell>
          <cell r="H177" t="str">
            <v>SP SUL</v>
          </cell>
          <cell r="I177" t="str">
            <v>T</v>
          </cell>
          <cell r="J177">
            <v>40</v>
          </cell>
          <cell r="K177">
            <v>0</v>
          </cell>
          <cell r="L177" t="str">
            <v>RUAN</v>
          </cell>
          <cell r="M177" t="str">
            <v>NÃO</v>
          </cell>
          <cell r="N177" t="str">
            <v>NÃO</v>
          </cell>
        </row>
        <row r="178">
          <cell r="A178" t="str">
            <v>OXX1088601</v>
          </cell>
          <cell r="B178" t="str">
            <v>OXX</v>
          </cell>
          <cell r="C178">
            <v>1088601</v>
          </cell>
          <cell r="D178">
            <v>45145</v>
          </cell>
          <cell r="E178" t="str">
            <v>RUA TABAPUÃ , 496</v>
          </cell>
          <cell r="F178" t="str">
            <v>ITAIM BIBI - TABAPUÃ</v>
          </cell>
          <cell r="G178" t="str">
            <v>SÃO PAULO</v>
          </cell>
          <cell r="H178" t="str">
            <v>SP SUL X</v>
          </cell>
          <cell r="I178" t="str">
            <v>P</v>
          </cell>
          <cell r="J178">
            <v>3</v>
          </cell>
          <cell r="K178" t="str">
            <v>DIURNO</v>
          </cell>
          <cell r="L178" t="str">
            <v>JÉSSICA</v>
          </cell>
          <cell r="M178" t="str">
            <v>NÃO</v>
          </cell>
          <cell r="N178" t="str">
            <v>NÃO</v>
          </cell>
        </row>
        <row r="179">
          <cell r="A179" t="str">
            <v>OXX1093800</v>
          </cell>
          <cell r="B179" t="str">
            <v>OXX</v>
          </cell>
          <cell r="C179">
            <v>1093800</v>
          </cell>
          <cell r="D179">
            <v>45145</v>
          </cell>
          <cell r="E179" t="str">
            <v>AV : VITAL BRASIL , 900</v>
          </cell>
          <cell r="F179" t="str">
            <v>BUTANTÃ - FACUL</v>
          </cell>
          <cell r="G179" t="str">
            <v>SÃO PAULO</v>
          </cell>
          <cell r="H179" t="str">
            <v>SP SUL X</v>
          </cell>
          <cell r="I179" t="str">
            <v>P</v>
          </cell>
          <cell r="J179">
            <v>3</v>
          </cell>
          <cell r="K179" t="str">
            <v>DIURNO</v>
          </cell>
          <cell r="L179" t="str">
            <v>RAYANE</v>
          </cell>
          <cell r="M179" t="str">
            <v>NÃO</v>
          </cell>
          <cell r="N179" t="str">
            <v>NÃO</v>
          </cell>
        </row>
        <row r="180">
          <cell r="A180" t="str">
            <v>OXX1100227</v>
          </cell>
          <cell r="B180" t="str">
            <v>OXX</v>
          </cell>
          <cell r="C180">
            <v>1100227</v>
          </cell>
          <cell r="D180">
            <v>45145</v>
          </cell>
          <cell r="E180" t="str">
            <v>RUA GALENO DE CASTRO , 730</v>
          </cell>
          <cell r="F180" t="str">
            <v>JURUBATUBA - NAÇÕES</v>
          </cell>
          <cell r="G180" t="str">
            <v>SÃO PAULO</v>
          </cell>
          <cell r="H180" t="str">
            <v>SP SUL X</v>
          </cell>
          <cell r="I180" t="str">
            <v>P</v>
          </cell>
          <cell r="J180">
            <v>3</v>
          </cell>
          <cell r="K180" t="str">
            <v>DIURNO</v>
          </cell>
          <cell r="L180" t="str">
            <v>CLAUDIA</v>
          </cell>
          <cell r="M180" t="str">
            <v>NÃO</v>
          </cell>
          <cell r="N180" t="str">
            <v>NÃO</v>
          </cell>
        </row>
        <row r="181">
          <cell r="A181" t="str">
            <v>OXX1100259</v>
          </cell>
          <cell r="B181" t="str">
            <v>OXX</v>
          </cell>
          <cell r="C181">
            <v>1100259</v>
          </cell>
          <cell r="D181">
            <v>45145</v>
          </cell>
          <cell r="E181" t="str">
            <v>RUA TAMANDARÉ , 796</v>
          </cell>
          <cell r="F181" t="str">
            <v>LIBERDADE - OFF</v>
          </cell>
          <cell r="G181" t="str">
            <v>SÃO PAULO</v>
          </cell>
          <cell r="H181" t="str">
            <v>SP SUL X</v>
          </cell>
          <cell r="I181" t="str">
            <v>P</v>
          </cell>
          <cell r="J181">
            <v>3</v>
          </cell>
          <cell r="K181" t="str">
            <v>DIURNO</v>
          </cell>
          <cell r="L181" t="str">
            <v>NATHALIA</v>
          </cell>
          <cell r="M181" t="str">
            <v>NÃO</v>
          </cell>
          <cell r="N181" t="str">
            <v>NÃO</v>
          </cell>
        </row>
        <row r="182">
          <cell r="A182" t="str">
            <v>OXX1100397</v>
          </cell>
          <cell r="B182" t="str">
            <v>OXX</v>
          </cell>
          <cell r="C182">
            <v>1100397</v>
          </cell>
          <cell r="D182">
            <v>45145</v>
          </cell>
          <cell r="E182" t="str">
            <v>RUA PIRES DA MOTA , 353</v>
          </cell>
          <cell r="F182" t="str">
            <v>LIBERDADE - BOSS</v>
          </cell>
          <cell r="G182" t="str">
            <v>SÃO PAULO</v>
          </cell>
          <cell r="H182" t="str">
            <v>SP SUL X</v>
          </cell>
          <cell r="I182" t="str">
            <v>P</v>
          </cell>
          <cell r="J182">
            <v>3</v>
          </cell>
          <cell r="K182" t="str">
            <v>DIURNO</v>
          </cell>
          <cell r="L182" t="str">
            <v>RAFAEL</v>
          </cell>
          <cell r="M182" t="str">
            <v>NÃO</v>
          </cell>
          <cell r="N182" t="str">
            <v>NÃO</v>
          </cell>
        </row>
        <row r="183">
          <cell r="A183" t="str">
            <v>OXX1100407</v>
          </cell>
          <cell r="B183" t="str">
            <v>OXX</v>
          </cell>
          <cell r="C183">
            <v>1100407</v>
          </cell>
          <cell r="D183">
            <v>45145</v>
          </cell>
          <cell r="E183" t="str">
            <v>RUA DA CONSOLAÇÃO , 1937</v>
          </cell>
          <cell r="F183" t="str">
            <v>CONSOLAÇÃO - MESTIÇO</v>
          </cell>
          <cell r="G183" t="str">
            <v>SÃO PAULO</v>
          </cell>
          <cell r="H183" t="str">
            <v>SP SUL X</v>
          </cell>
          <cell r="I183" t="str">
            <v>P</v>
          </cell>
          <cell r="J183">
            <v>3</v>
          </cell>
          <cell r="K183" t="str">
            <v>DIURNO</v>
          </cell>
          <cell r="L183" t="str">
            <v>FLAVIA</v>
          </cell>
          <cell r="M183" t="str">
            <v>NÃO</v>
          </cell>
          <cell r="N183" t="str">
            <v>NÃO</v>
          </cell>
        </row>
        <row r="184">
          <cell r="A184" t="str">
            <v/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 t="str">
            <v>Total</v>
          </cell>
          <cell r="J184">
            <v>306</v>
          </cell>
          <cell r="K184">
            <v>284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/>
          </cell>
          <cell r="B185">
            <v>0</v>
          </cell>
          <cell r="C185">
            <v>0</v>
          </cell>
          <cell r="D185">
            <v>0</v>
          </cell>
          <cell r="E185">
            <v>45146</v>
          </cell>
          <cell r="F185" t="str">
            <v>TERÇA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CFO179</v>
          </cell>
          <cell r="B186" t="str">
            <v>CFO</v>
          </cell>
          <cell r="C186">
            <v>179</v>
          </cell>
          <cell r="D186">
            <v>45146</v>
          </cell>
          <cell r="E186" t="str">
            <v>AV : PLÍNIO BRASIL MILANO , 2343</v>
          </cell>
          <cell r="F186" t="str">
            <v>PASSO D'AREIA</v>
          </cell>
          <cell r="G186" t="str">
            <v>PORTO ALEGRE</v>
          </cell>
          <cell r="H186" t="str">
            <v>PORTO ALEGRE</v>
          </cell>
          <cell r="I186" t="str">
            <v>PNA</v>
          </cell>
          <cell r="J186">
            <v>33</v>
          </cell>
          <cell r="K186">
            <v>0</v>
          </cell>
          <cell r="L186" t="str">
            <v>PAVAN</v>
          </cell>
          <cell r="M186" t="str">
            <v>NÃO</v>
          </cell>
          <cell r="N186" t="str">
            <v>NÃO</v>
          </cell>
        </row>
        <row r="187">
          <cell r="A187" t="str">
            <v>FSJ451</v>
          </cell>
          <cell r="B187" t="str">
            <v>FSJ</v>
          </cell>
          <cell r="C187">
            <v>451</v>
          </cell>
          <cell r="D187">
            <v>45146</v>
          </cell>
          <cell r="E187" t="str">
            <v>AV : ADOLFO FETTER , 1420</v>
          </cell>
          <cell r="F187" t="str">
            <v>LARANJAL - PEL 15</v>
          </cell>
          <cell r="G187" t="str">
            <v>PELOTAS</v>
          </cell>
          <cell r="H187" t="str">
            <v>PORTO ALEGRE</v>
          </cell>
          <cell r="I187" t="str">
            <v>T</v>
          </cell>
          <cell r="J187">
            <v>9</v>
          </cell>
          <cell r="K187" t="str">
            <v>EQ. PELOTAS</v>
          </cell>
          <cell r="L187" t="str">
            <v>PATRINE</v>
          </cell>
          <cell r="M187" t="str">
            <v>NÃO</v>
          </cell>
          <cell r="N187" t="str">
            <v>NÃO</v>
          </cell>
        </row>
        <row r="188">
          <cell r="A188" t="str">
            <v>SAM4857</v>
          </cell>
          <cell r="B188" t="str">
            <v>SAM</v>
          </cell>
          <cell r="C188">
            <v>4857</v>
          </cell>
          <cell r="D188">
            <v>45146</v>
          </cell>
          <cell r="E188" t="str">
            <v>BR 277 RODOVIA CURITIBA x PONTA GROSSA , 65</v>
          </cell>
          <cell r="F188" t="str">
            <v>BARIGUI</v>
          </cell>
          <cell r="G188" t="str">
            <v>CURITIBA</v>
          </cell>
          <cell r="H188" t="str">
            <v>PR CURITIBA</v>
          </cell>
          <cell r="I188" t="str">
            <v>CA</v>
          </cell>
          <cell r="J188">
            <v>13</v>
          </cell>
          <cell r="K188">
            <v>0</v>
          </cell>
          <cell r="L188" t="str">
            <v>HENRIQUE</v>
          </cell>
          <cell r="M188" t="str">
            <v>NÃO</v>
          </cell>
          <cell r="N188" t="str">
            <v>NÃO</v>
          </cell>
        </row>
        <row r="189">
          <cell r="A189" t="str">
            <v>VVE34</v>
          </cell>
          <cell r="B189" t="str">
            <v>VVE</v>
          </cell>
          <cell r="C189">
            <v>34</v>
          </cell>
          <cell r="D189">
            <v>45146</v>
          </cell>
          <cell r="E189" t="str">
            <v xml:space="preserve">RUA PRES. EPITÁCIO PESSOA , 31 </v>
          </cell>
          <cell r="F189" t="str">
            <v>JD. NOVO BANDEIRANTES I</v>
          </cell>
          <cell r="G189" t="str">
            <v>CAMBÉ</v>
          </cell>
          <cell r="H189" t="str">
            <v>PR LONDRINA</v>
          </cell>
          <cell r="I189" t="str">
            <v>T</v>
          </cell>
          <cell r="J189">
            <v>6</v>
          </cell>
          <cell r="K189">
            <v>0</v>
          </cell>
          <cell r="L189" t="str">
            <v>MARIANA</v>
          </cell>
          <cell r="M189" t="str">
            <v>UBER</v>
          </cell>
          <cell r="N189">
            <v>0.875</v>
          </cell>
        </row>
        <row r="190">
          <cell r="A190" t="str">
            <v>PVI278</v>
          </cell>
          <cell r="B190" t="str">
            <v>PVI</v>
          </cell>
          <cell r="C190">
            <v>278</v>
          </cell>
          <cell r="D190">
            <v>45146</v>
          </cell>
          <cell r="E190" t="str">
            <v>AV : DAS AMÉRICAS , 4666 - BARRA DA TIJUCA</v>
          </cell>
          <cell r="F190" t="str">
            <v>BARRA SHOPPING</v>
          </cell>
          <cell r="G190" t="str">
            <v>RIO DE JANEIRO</v>
          </cell>
          <cell r="H190" t="str">
            <v>RJ</v>
          </cell>
          <cell r="I190" t="str">
            <v>T</v>
          </cell>
          <cell r="J190">
            <v>3</v>
          </cell>
          <cell r="K190">
            <v>0</v>
          </cell>
          <cell r="L190" t="str">
            <v>ANTÔNIO</v>
          </cell>
          <cell r="M190" t="str">
            <v>NÃO</v>
          </cell>
          <cell r="N190" t="str">
            <v>NÃO</v>
          </cell>
        </row>
        <row r="191">
          <cell r="A191" t="str">
            <v>DSP335</v>
          </cell>
          <cell r="B191" t="str">
            <v>DSP</v>
          </cell>
          <cell r="C191">
            <v>335</v>
          </cell>
          <cell r="D191">
            <v>45146</v>
          </cell>
          <cell r="E191" t="str">
            <v>RUA BERNARDINO DE CAMPOS , 3600 / 3620</v>
          </cell>
          <cell r="F191" t="str">
            <v>CENTRO</v>
          </cell>
          <cell r="G191" t="str">
            <v>SÃO JOSÉ DO RIO PRETO</v>
          </cell>
          <cell r="H191" t="str">
            <v>SP INT BAURU</v>
          </cell>
          <cell r="I191" t="str">
            <v>T</v>
          </cell>
          <cell r="J191">
            <v>12</v>
          </cell>
          <cell r="K191">
            <v>0</v>
          </cell>
          <cell r="L191" t="str">
            <v>VICTOR</v>
          </cell>
          <cell r="M191" t="str">
            <v>01 VAN</v>
          </cell>
          <cell r="N191">
            <v>0.6875</v>
          </cell>
        </row>
        <row r="192">
          <cell r="A192" t="str">
            <v>DSP640</v>
          </cell>
          <cell r="B192" t="str">
            <v>DSP</v>
          </cell>
          <cell r="C192">
            <v>640</v>
          </cell>
          <cell r="D192">
            <v>45146</v>
          </cell>
          <cell r="E192" t="str">
            <v>RUA DOMICIANO SANTANA , 1283</v>
          </cell>
          <cell r="F192" t="str">
            <v>CENTRO - 24h</v>
          </cell>
          <cell r="G192" t="str">
            <v>AVARÉ</v>
          </cell>
          <cell r="H192" t="str">
            <v>SP INT BAURU</v>
          </cell>
          <cell r="I192" t="str">
            <v>T</v>
          </cell>
          <cell r="J192">
            <v>14</v>
          </cell>
          <cell r="K192">
            <v>0</v>
          </cell>
          <cell r="L192" t="str">
            <v>ROSÂNGELA</v>
          </cell>
          <cell r="M192" t="str">
            <v>01 VAN</v>
          </cell>
          <cell r="N192">
            <v>0.72916666666666663</v>
          </cell>
        </row>
        <row r="193">
          <cell r="A193" t="str">
            <v>OXX1086824</v>
          </cell>
          <cell r="B193" t="str">
            <v>OXX</v>
          </cell>
          <cell r="C193">
            <v>1086824</v>
          </cell>
          <cell r="D193">
            <v>45146</v>
          </cell>
          <cell r="E193" t="str">
            <v>RUA CONCEIÇÃO , 480</v>
          </cell>
          <cell r="F193" t="str">
            <v>CENTRO - MALL VIEIRA</v>
          </cell>
          <cell r="G193" t="str">
            <v>CAMPINAS</v>
          </cell>
          <cell r="H193" t="str">
            <v>SP INT CPN</v>
          </cell>
          <cell r="I193" t="str">
            <v>P</v>
          </cell>
          <cell r="J193">
            <v>3</v>
          </cell>
          <cell r="K193" t="str">
            <v>DIURNO</v>
          </cell>
          <cell r="L193" t="str">
            <v>IZABELA/THALIA</v>
          </cell>
          <cell r="M193" t="str">
            <v>NÃO</v>
          </cell>
          <cell r="N193" t="str">
            <v>NÃO</v>
          </cell>
        </row>
        <row r="194">
          <cell r="A194" t="str">
            <v>OXX1095523</v>
          </cell>
          <cell r="B194" t="str">
            <v>OXX</v>
          </cell>
          <cell r="C194">
            <v>1095523</v>
          </cell>
          <cell r="D194">
            <v>45146</v>
          </cell>
          <cell r="E194" t="str">
            <v>AV : INDEPENDÊNCIA , 841</v>
          </cell>
          <cell r="F194" t="str">
            <v>CIDADE ALTA - SAINT HOUSE</v>
          </cell>
          <cell r="G194" t="str">
            <v>PIRACICABA</v>
          </cell>
          <cell r="H194" t="str">
            <v>SP INT CPN</v>
          </cell>
          <cell r="I194" t="str">
            <v>P</v>
          </cell>
          <cell r="J194">
            <v>3</v>
          </cell>
          <cell r="K194" t="str">
            <v>DIURNO</v>
          </cell>
          <cell r="L194" t="str">
            <v>LEONARDO</v>
          </cell>
          <cell r="M194" t="str">
            <v>UBER</v>
          </cell>
          <cell r="N194">
            <v>0.29166666666666669</v>
          </cell>
        </row>
        <row r="195">
          <cell r="A195" t="str">
            <v>OXX1095591</v>
          </cell>
          <cell r="B195" t="str">
            <v>OXX</v>
          </cell>
          <cell r="C195">
            <v>1095591</v>
          </cell>
          <cell r="D195">
            <v>45146</v>
          </cell>
          <cell r="E195" t="str">
            <v xml:space="preserve">RUA COM. QUERUBIM URIEL , 22 </v>
          </cell>
          <cell r="F195" t="str">
            <v>CENTRO - QUARTIER</v>
          </cell>
          <cell r="G195" t="str">
            <v>CAMPINAS</v>
          </cell>
          <cell r="H195" t="str">
            <v>SP INT CPN</v>
          </cell>
          <cell r="I195" t="str">
            <v>P</v>
          </cell>
          <cell r="J195">
            <v>3</v>
          </cell>
          <cell r="K195" t="str">
            <v>DIURNO</v>
          </cell>
          <cell r="L195" t="str">
            <v>LETÍCIA/EVA</v>
          </cell>
          <cell r="M195" t="str">
            <v>NÃO</v>
          </cell>
          <cell r="N195" t="str">
            <v>NÃO</v>
          </cell>
        </row>
        <row r="196">
          <cell r="A196" t="str">
            <v>SVG48</v>
          </cell>
          <cell r="B196" t="str">
            <v>SVG</v>
          </cell>
          <cell r="C196">
            <v>48</v>
          </cell>
          <cell r="D196">
            <v>45146</v>
          </cell>
          <cell r="E196" t="str">
            <v>AV : COM. AGOSTINHO PRADA , 1737</v>
          </cell>
          <cell r="F196" t="str">
            <v>JD. MARIA BUCHI</v>
          </cell>
          <cell r="G196" t="str">
            <v>LIMEIRA</v>
          </cell>
          <cell r="H196" t="str">
            <v>SP INT LIMEIRA</v>
          </cell>
          <cell r="I196" t="str">
            <v>P</v>
          </cell>
          <cell r="J196">
            <v>20</v>
          </cell>
          <cell r="K196" t="str">
            <v>APOIO SUL</v>
          </cell>
          <cell r="L196" t="str">
            <v>GUSTAVO</v>
          </cell>
          <cell r="M196" t="str">
            <v>NÃO</v>
          </cell>
          <cell r="N196" t="str">
            <v>NÃO</v>
          </cell>
        </row>
        <row r="197">
          <cell r="A197" t="str">
            <v>CFX598</v>
          </cell>
          <cell r="B197" t="str">
            <v>CFX</v>
          </cell>
          <cell r="C197">
            <v>598</v>
          </cell>
          <cell r="D197">
            <v>45146</v>
          </cell>
          <cell r="E197" t="str">
            <v>PRAÇA SAMUEL SABATINI , 200</v>
          </cell>
          <cell r="F197" t="str">
            <v>SHOPPING METRÓPOLE</v>
          </cell>
          <cell r="G197" t="str">
            <v>SÃO BERNARDO DO CAMPO</v>
          </cell>
          <cell r="H197" t="str">
            <v>SP INT SJC</v>
          </cell>
          <cell r="I197" t="str">
            <v>T</v>
          </cell>
          <cell r="J197">
            <v>6</v>
          </cell>
          <cell r="K197">
            <v>0</v>
          </cell>
          <cell r="L197" t="str">
            <v>FELIPE/NATÁLIA</v>
          </cell>
          <cell r="M197" t="str">
            <v>01 CARRO e UBER</v>
          </cell>
          <cell r="N197">
            <v>0.72916666666666663</v>
          </cell>
        </row>
        <row r="198">
          <cell r="A198" t="str">
            <v>DSP406</v>
          </cell>
          <cell r="B198" t="str">
            <v>DSP</v>
          </cell>
          <cell r="C198">
            <v>406</v>
          </cell>
          <cell r="D198">
            <v>45146</v>
          </cell>
          <cell r="E198" t="str">
            <v>PRAÇA SAMUEL SABATINI , 200</v>
          </cell>
          <cell r="F198" t="str">
            <v>SHOPPING METRÓPOLE</v>
          </cell>
          <cell r="G198" t="str">
            <v>SÃO BERNARDO DO CAMPO</v>
          </cell>
          <cell r="H198" t="str">
            <v>SP INT SJC</v>
          </cell>
          <cell r="I198" t="str">
            <v>T</v>
          </cell>
          <cell r="J198">
            <v>13</v>
          </cell>
          <cell r="K198">
            <v>0</v>
          </cell>
          <cell r="L198" t="str">
            <v>JAÍNE/BRUNA</v>
          </cell>
          <cell r="M198" t="str">
            <v>01 VAN</v>
          </cell>
          <cell r="N198">
            <v>0.75</v>
          </cell>
        </row>
        <row r="199">
          <cell r="A199" t="str">
            <v>CDG808</v>
          </cell>
          <cell r="B199" t="str">
            <v>CDG</v>
          </cell>
          <cell r="C199">
            <v>808</v>
          </cell>
          <cell r="D199">
            <v>45146</v>
          </cell>
          <cell r="E199" t="str">
            <v>AV : RIO DAS PEDRAS , 555</v>
          </cell>
          <cell r="F199" t="str">
            <v>ARICANDUVA</v>
          </cell>
          <cell r="G199" t="str">
            <v>SÃO PAULO</v>
          </cell>
          <cell r="H199" t="str">
            <v>SP LESTE</v>
          </cell>
          <cell r="I199" t="str">
            <v>T</v>
          </cell>
          <cell r="J199">
            <v>8</v>
          </cell>
          <cell r="K199">
            <v>0</v>
          </cell>
          <cell r="L199" t="str">
            <v>CARINA</v>
          </cell>
          <cell r="M199" t="str">
            <v>NÃO</v>
          </cell>
          <cell r="N199" t="str">
            <v>NÃO</v>
          </cell>
        </row>
        <row r="200">
          <cell r="A200" t="str">
            <v>CFO115</v>
          </cell>
          <cell r="B200" t="str">
            <v>CFO</v>
          </cell>
          <cell r="C200">
            <v>115</v>
          </cell>
          <cell r="D200">
            <v>45146</v>
          </cell>
          <cell r="E200" t="str">
            <v>AV : RIO DAS PEDRAS , 555</v>
          </cell>
          <cell r="F200" t="str">
            <v>ARICANDUVA</v>
          </cell>
          <cell r="G200" t="str">
            <v>SÃO PAULO</v>
          </cell>
          <cell r="H200" t="str">
            <v>SP LESTE</v>
          </cell>
          <cell r="I200" t="str">
            <v>PNA</v>
          </cell>
          <cell r="J200">
            <v>34</v>
          </cell>
          <cell r="K200">
            <v>0</v>
          </cell>
          <cell r="L200" t="str">
            <v>LUANA/LUÍS</v>
          </cell>
          <cell r="M200" t="str">
            <v>NÃO</v>
          </cell>
          <cell r="N200" t="str">
            <v>NÃO</v>
          </cell>
        </row>
        <row r="201">
          <cell r="A201" t="str">
            <v>DSP141</v>
          </cell>
          <cell r="B201" t="str">
            <v>DSP</v>
          </cell>
          <cell r="C201">
            <v>141</v>
          </cell>
          <cell r="D201">
            <v>45146</v>
          </cell>
          <cell r="E201" t="str">
            <v>AV : DR. CAMPOS SALLES , 834</v>
          </cell>
          <cell r="F201" t="str">
            <v>CENTRO</v>
          </cell>
          <cell r="G201" t="str">
            <v>CAMPINAS</v>
          </cell>
          <cell r="H201" t="str">
            <v>SP LESTE</v>
          </cell>
          <cell r="I201" t="str">
            <v>T</v>
          </cell>
          <cell r="J201">
            <v>11</v>
          </cell>
          <cell r="K201">
            <v>0</v>
          </cell>
          <cell r="L201" t="str">
            <v>MARCELO</v>
          </cell>
          <cell r="M201" t="str">
            <v>01 VAN</v>
          </cell>
          <cell r="N201">
            <v>0.72916666666666663</v>
          </cell>
        </row>
        <row r="202">
          <cell r="A202" t="str">
            <v>DSP230</v>
          </cell>
          <cell r="B202" t="str">
            <v>DSP</v>
          </cell>
          <cell r="C202">
            <v>230</v>
          </cell>
          <cell r="D202">
            <v>45146</v>
          </cell>
          <cell r="E202" t="str">
            <v>AV : BRASIL , 1700</v>
          </cell>
          <cell r="F202" t="str">
            <v>SANTO ANTÔNIO - 24h</v>
          </cell>
          <cell r="G202" t="str">
            <v>AMERICANA</v>
          </cell>
          <cell r="H202" t="str">
            <v>SP LESTE</v>
          </cell>
          <cell r="I202" t="str">
            <v>T</v>
          </cell>
          <cell r="J202">
            <v>12</v>
          </cell>
          <cell r="K202">
            <v>0</v>
          </cell>
          <cell r="L202" t="str">
            <v>JÉSSICA</v>
          </cell>
          <cell r="M202" t="str">
            <v>01 VAN</v>
          </cell>
          <cell r="N202">
            <v>0.72916666666666663</v>
          </cell>
        </row>
        <row r="203">
          <cell r="A203" t="str">
            <v>GIG304</v>
          </cell>
          <cell r="B203" t="str">
            <v>GIG</v>
          </cell>
          <cell r="C203">
            <v>304</v>
          </cell>
          <cell r="D203">
            <v>45146</v>
          </cell>
          <cell r="E203" t="str">
            <v>AV : CORONEL SEZEFREDO FAGUNDES , 1928</v>
          </cell>
          <cell r="F203" t="str">
            <v>TUCURUVI</v>
          </cell>
          <cell r="G203" t="str">
            <v>SÃO PAULO</v>
          </cell>
          <cell r="H203" t="str">
            <v>SP LESTE</v>
          </cell>
          <cell r="I203" t="str">
            <v>CA</v>
          </cell>
          <cell r="J203">
            <v>22</v>
          </cell>
          <cell r="K203">
            <v>0</v>
          </cell>
          <cell r="L203" t="str">
            <v>PATRÍCIA</v>
          </cell>
          <cell r="M203" t="str">
            <v>NÃO</v>
          </cell>
          <cell r="N203" t="str">
            <v>NÃO</v>
          </cell>
        </row>
        <row r="204">
          <cell r="A204" t="str">
            <v>PMO76</v>
          </cell>
          <cell r="B204" t="str">
            <v>PMO</v>
          </cell>
          <cell r="C204">
            <v>76</v>
          </cell>
          <cell r="D204">
            <v>45146</v>
          </cell>
          <cell r="E204" t="str">
            <v>AV : PRES. KENNEDY , 3000</v>
          </cell>
          <cell r="F204" t="str">
            <v>SANTA PAULA</v>
          </cell>
          <cell r="G204" t="str">
            <v>SÃO CAETANO DO SUL</v>
          </cell>
          <cell r="H204" t="str">
            <v>SP LESTE</v>
          </cell>
          <cell r="I204" t="str">
            <v>T</v>
          </cell>
          <cell r="J204">
            <v>5</v>
          </cell>
          <cell r="K204">
            <v>0</v>
          </cell>
          <cell r="L204" t="str">
            <v>TAMIRES</v>
          </cell>
          <cell r="M204" t="str">
            <v>UBER</v>
          </cell>
          <cell r="N204">
            <v>0.79166666666666663</v>
          </cell>
        </row>
        <row r="205">
          <cell r="A205" t="str">
            <v>OXX1099013</v>
          </cell>
          <cell r="B205" t="str">
            <v>OXX</v>
          </cell>
          <cell r="C205">
            <v>1099013</v>
          </cell>
          <cell r="D205">
            <v>45146</v>
          </cell>
          <cell r="E205" t="str">
            <v xml:space="preserve">AV : CIPRIANO RODRIGUES , 175 </v>
          </cell>
          <cell r="F205" t="str">
            <v>VILA FORMOSA - PIQUEROBY</v>
          </cell>
          <cell r="G205" t="str">
            <v>SÃO PAULO</v>
          </cell>
          <cell r="H205" t="str">
            <v>SP LESTE X</v>
          </cell>
          <cell r="I205" t="str">
            <v>P</v>
          </cell>
          <cell r="J205">
            <v>3</v>
          </cell>
          <cell r="K205" t="str">
            <v>DIURNO</v>
          </cell>
          <cell r="L205" t="str">
            <v>CÁSSIA</v>
          </cell>
          <cell r="M205" t="str">
            <v>NÃO</v>
          </cell>
          <cell r="N205" t="str">
            <v>NÃO</v>
          </cell>
        </row>
        <row r="206">
          <cell r="A206" t="str">
            <v>OXX1100127</v>
          </cell>
          <cell r="B206" t="str">
            <v>OXX</v>
          </cell>
          <cell r="C206">
            <v>1100127</v>
          </cell>
          <cell r="D206">
            <v>45146</v>
          </cell>
          <cell r="E206" t="str">
            <v>RUA FRANCISCO MARENGO , 1005</v>
          </cell>
          <cell r="F206" t="str">
            <v>TATUAPÉ - GRÃO DE BICO</v>
          </cell>
          <cell r="G206" t="str">
            <v>SÃO PAULO</v>
          </cell>
          <cell r="H206" t="str">
            <v>SP LESTE X</v>
          </cell>
          <cell r="I206" t="str">
            <v>P</v>
          </cell>
          <cell r="J206">
            <v>3</v>
          </cell>
          <cell r="K206" t="str">
            <v>DIURNO</v>
          </cell>
          <cell r="L206" t="str">
            <v>JOSÉ WELVYS/KAIQUE</v>
          </cell>
          <cell r="M206" t="str">
            <v>NÃO</v>
          </cell>
          <cell r="N206" t="str">
            <v>NÃO</v>
          </cell>
        </row>
        <row r="207">
          <cell r="A207" t="str">
            <v>OXX1100647</v>
          </cell>
          <cell r="B207" t="str">
            <v>OXX</v>
          </cell>
          <cell r="C207">
            <v>1100647</v>
          </cell>
          <cell r="D207">
            <v>45146</v>
          </cell>
          <cell r="E207" t="str">
            <v>RUA HIPÓDROMO , 1389</v>
          </cell>
          <cell r="F207" t="str">
            <v>MOOCA - HAWAY</v>
          </cell>
          <cell r="G207" t="str">
            <v>SÃO PAULO</v>
          </cell>
          <cell r="H207" t="str">
            <v>SP LESTE X</v>
          </cell>
          <cell r="I207" t="str">
            <v>P</v>
          </cell>
          <cell r="J207">
            <v>3</v>
          </cell>
          <cell r="K207" t="str">
            <v>DIURNO</v>
          </cell>
          <cell r="L207" t="str">
            <v>GAMA/JOYCE</v>
          </cell>
          <cell r="M207" t="str">
            <v>NÃO</v>
          </cell>
          <cell r="N207" t="str">
            <v>NÃO</v>
          </cell>
        </row>
        <row r="208">
          <cell r="A208" t="str">
            <v>OXX1101278</v>
          </cell>
          <cell r="B208" t="str">
            <v>OXX</v>
          </cell>
          <cell r="C208">
            <v>1101278</v>
          </cell>
          <cell r="D208">
            <v>45146</v>
          </cell>
          <cell r="E208" t="str">
            <v>RUA ULISSES CRUZ , 696</v>
          </cell>
          <cell r="F208" t="str">
            <v>TATUAPÉ - MERSU</v>
          </cell>
          <cell r="G208" t="str">
            <v>SÃO PAULO</v>
          </cell>
          <cell r="H208" t="str">
            <v>SP LESTE X</v>
          </cell>
          <cell r="I208" t="str">
            <v>P</v>
          </cell>
          <cell r="J208">
            <v>3</v>
          </cell>
          <cell r="K208" t="str">
            <v>DIURNO</v>
          </cell>
          <cell r="L208" t="str">
            <v>ARTHUR</v>
          </cell>
          <cell r="M208" t="str">
            <v>NÃO</v>
          </cell>
          <cell r="N208" t="str">
            <v>NÃO</v>
          </cell>
        </row>
        <row r="209">
          <cell r="A209" t="str">
            <v>OXX1101490</v>
          </cell>
          <cell r="B209" t="str">
            <v>OXX</v>
          </cell>
          <cell r="C209">
            <v>1101490</v>
          </cell>
          <cell r="D209">
            <v>45146</v>
          </cell>
          <cell r="E209" t="str">
            <v>AV : SANTA MARINA , 1543</v>
          </cell>
          <cell r="F209" t="str">
            <v>ÁGUA BRANCA - ROLL</v>
          </cell>
          <cell r="G209" t="str">
            <v>SÃO PAULO</v>
          </cell>
          <cell r="H209" t="str">
            <v>SP LESTE X</v>
          </cell>
          <cell r="I209" t="str">
            <v>P</v>
          </cell>
          <cell r="J209">
            <v>3</v>
          </cell>
          <cell r="K209" t="str">
            <v>DIURNO</v>
          </cell>
          <cell r="L209" t="str">
            <v>ANDERSON</v>
          </cell>
          <cell r="M209" t="str">
            <v>NÃO</v>
          </cell>
          <cell r="N209" t="str">
            <v>NÃO</v>
          </cell>
        </row>
        <row r="210">
          <cell r="A210" t="str">
            <v>CFX593</v>
          </cell>
          <cell r="B210" t="str">
            <v>CFX</v>
          </cell>
          <cell r="C210">
            <v>593</v>
          </cell>
          <cell r="D210">
            <v>45146</v>
          </cell>
          <cell r="E210" t="str">
            <v>RUA DOMINGOS DE MORAIS , 1689</v>
          </cell>
          <cell r="F210" t="str">
            <v>CHÁCARA KLABIN</v>
          </cell>
          <cell r="G210" t="str">
            <v>SÃO PAULO</v>
          </cell>
          <cell r="H210" t="str">
            <v>SP SUL</v>
          </cell>
          <cell r="I210" t="str">
            <v>T</v>
          </cell>
          <cell r="J210">
            <v>6</v>
          </cell>
          <cell r="K210">
            <v>0</v>
          </cell>
          <cell r="L210" t="str">
            <v>GLEDSON</v>
          </cell>
          <cell r="M210" t="str">
            <v>NÃO</v>
          </cell>
          <cell r="N210" t="str">
            <v>NÃO</v>
          </cell>
        </row>
        <row r="211">
          <cell r="A211" t="str">
            <v>DSP198</v>
          </cell>
          <cell r="B211" t="str">
            <v>DSP</v>
          </cell>
          <cell r="C211">
            <v>198</v>
          </cell>
          <cell r="D211">
            <v>45146</v>
          </cell>
          <cell r="E211" t="str">
            <v>PRAÇA MONTEIRO DOS SANTOS , 44</v>
          </cell>
          <cell r="F211" t="str">
            <v>VILA MARIANA - MONTEIRO - 24h</v>
          </cell>
          <cell r="G211" t="str">
            <v>SÃO PAULO</v>
          </cell>
          <cell r="H211" t="str">
            <v>SP SUL</v>
          </cell>
          <cell r="I211" t="str">
            <v>T</v>
          </cell>
          <cell r="J211">
            <v>13</v>
          </cell>
          <cell r="K211">
            <v>0</v>
          </cell>
          <cell r="L211" t="str">
            <v>ELAINE</v>
          </cell>
          <cell r="M211" t="str">
            <v>NÃO</v>
          </cell>
          <cell r="N211" t="str">
            <v>NÃO</v>
          </cell>
        </row>
        <row r="212">
          <cell r="A212" t="str">
            <v>PMO23</v>
          </cell>
          <cell r="B212" t="str">
            <v>PMO</v>
          </cell>
          <cell r="C212">
            <v>23</v>
          </cell>
          <cell r="D212">
            <v>45146</v>
          </cell>
          <cell r="E212" t="str">
            <v>RUA PASQUALE GALLUPI , 1379</v>
          </cell>
          <cell r="F212" t="str">
            <v>PARAISÓPOLIS - PASQUALE</v>
          </cell>
          <cell r="G212" t="str">
            <v>SÃO PAULO</v>
          </cell>
          <cell r="H212" t="str">
            <v>SP SUL</v>
          </cell>
          <cell r="I212" t="str">
            <v>T</v>
          </cell>
          <cell r="J212">
            <v>4</v>
          </cell>
          <cell r="K212">
            <v>0</v>
          </cell>
          <cell r="L212" t="str">
            <v>FERNANDO</v>
          </cell>
          <cell r="M212" t="str">
            <v>NÃO</v>
          </cell>
          <cell r="N212" t="str">
            <v>NÃO</v>
          </cell>
        </row>
        <row r="213">
          <cell r="A213" t="str">
            <v>PVI180</v>
          </cell>
          <cell r="B213" t="str">
            <v>PVI</v>
          </cell>
          <cell r="C213">
            <v>180</v>
          </cell>
          <cell r="D213">
            <v>45146</v>
          </cell>
          <cell r="E213" t="str">
            <v>AV : ROQUE PETRONI JR. , 1089 - JD. DAS ACÁCIAS</v>
          </cell>
          <cell r="F213" t="str">
            <v>SHOPPING MORUMBI</v>
          </cell>
          <cell r="G213" t="str">
            <v>SÃO PAULO</v>
          </cell>
          <cell r="H213" t="str">
            <v>SP SUL</v>
          </cell>
          <cell r="I213" t="str">
            <v>T</v>
          </cell>
          <cell r="J213">
            <v>5</v>
          </cell>
          <cell r="K213">
            <v>0</v>
          </cell>
          <cell r="L213" t="str">
            <v>CARLOS</v>
          </cell>
          <cell r="M213" t="str">
            <v>NÃO</v>
          </cell>
          <cell r="N213" t="str">
            <v>NÃO</v>
          </cell>
        </row>
        <row r="214">
          <cell r="A214" t="str">
            <v>STMS108</v>
          </cell>
          <cell r="B214" t="str">
            <v>STM</v>
          </cell>
          <cell r="C214" t="str">
            <v>S108</v>
          </cell>
          <cell r="D214">
            <v>45146</v>
          </cell>
          <cell r="E214" t="str">
            <v>ALAMEDA RIO NEGRO , 1406</v>
          </cell>
          <cell r="F214" t="str">
            <v>ALPHAVILLE</v>
          </cell>
          <cell r="G214" t="str">
            <v>BARUERI</v>
          </cell>
          <cell r="H214" t="str">
            <v>SP SUL</v>
          </cell>
          <cell r="I214" t="str">
            <v>T</v>
          </cell>
          <cell r="J214">
            <v>40</v>
          </cell>
          <cell r="K214">
            <v>0</v>
          </cell>
          <cell r="L214" t="str">
            <v>RUAN</v>
          </cell>
          <cell r="M214" t="str">
            <v>03 VANS</v>
          </cell>
          <cell r="N214">
            <v>0.6875</v>
          </cell>
        </row>
        <row r="215">
          <cell r="A215" t="str">
            <v>SVG48</v>
          </cell>
          <cell r="B215" t="str">
            <v>SVG</v>
          </cell>
          <cell r="C215">
            <v>48</v>
          </cell>
          <cell r="D215">
            <v>45146</v>
          </cell>
          <cell r="E215" t="str">
            <v>AV : COM. AGOSTINHO PRADA , 1737</v>
          </cell>
          <cell r="F215" t="str">
            <v>JD. MARIA BUCHI</v>
          </cell>
          <cell r="G215" t="str">
            <v>LIMEIRA</v>
          </cell>
          <cell r="H215" t="str">
            <v>SP SUL</v>
          </cell>
          <cell r="I215" t="str">
            <v>APOIO</v>
          </cell>
          <cell r="J215">
            <v>25</v>
          </cell>
          <cell r="K215">
            <v>0</v>
          </cell>
          <cell r="L215" t="str">
            <v>VIANA/JUSCELINO</v>
          </cell>
          <cell r="M215" t="str">
            <v>02 VANS</v>
          </cell>
          <cell r="N215">
            <v>0.66666666666666663</v>
          </cell>
        </row>
        <row r="216">
          <cell r="A216" t="str">
            <v>OXX1087398</v>
          </cell>
          <cell r="B216" t="str">
            <v>OXX</v>
          </cell>
          <cell r="C216">
            <v>1087398</v>
          </cell>
          <cell r="D216">
            <v>45146</v>
          </cell>
          <cell r="E216" t="str">
            <v>RUA MMDC , 80 - LOJA A</v>
          </cell>
          <cell r="F216" t="str">
            <v>BUTANTÃ - SHARE</v>
          </cell>
          <cell r="G216" t="str">
            <v>SÃO PAULO</v>
          </cell>
          <cell r="H216" t="str">
            <v>SP SUL X</v>
          </cell>
          <cell r="I216" t="str">
            <v>P</v>
          </cell>
          <cell r="J216">
            <v>3</v>
          </cell>
          <cell r="K216" t="str">
            <v>DIURNO</v>
          </cell>
          <cell r="L216" t="str">
            <v>JÉSSICA</v>
          </cell>
          <cell r="M216" t="str">
            <v>NÃO</v>
          </cell>
          <cell r="N216" t="str">
            <v>NÃO</v>
          </cell>
        </row>
        <row r="217">
          <cell r="A217" t="str">
            <v>OXX1093204</v>
          </cell>
          <cell r="B217" t="str">
            <v>OXX</v>
          </cell>
          <cell r="C217">
            <v>1093204</v>
          </cell>
          <cell r="D217">
            <v>45146</v>
          </cell>
          <cell r="E217" t="str">
            <v>RUA PEDRO DE TOLEDO , 924/928</v>
          </cell>
          <cell r="F217" t="str">
            <v>VILA CLEMENTINO - METRÔ HSP</v>
          </cell>
          <cell r="G217" t="str">
            <v>SÃO PAULO</v>
          </cell>
          <cell r="H217" t="str">
            <v>SP SUL X</v>
          </cell>
          <cell r="I217" t="str">
            <v>P</v>
          </cell>
          <cell r="J217">
            <v>3</v>
          </cell>
          <cell r="K217" t="str">
            <v>DIURNO</v>
          </cell>
          <cell r="L217" t="str">
            <v>RAFAEL</v>
          </cell>
          <cell r="M217" t="str">
            <v>NÃO</v>
          </cell>
          <cell r="N217" t="str">
            <v>NÃO</v>
          </cell>
        </row>
        <row r="218">
          <cell r="A218" t="str">
            <v>OXX1096664</v>
          </cell>
          <cell r="B218" t="str">
            <v>OXX</v>
          </cell>
          <cell r="C218">
            <v>1096664</v>
          </cell>
          <cell r="D218">
            <v>45146</v>
          </cell>
          <cell r="E218" t="str">
            <v xml:space="preserve">AV : SENADOR VERGUEIRO , 3201 </v>
          </cell>
          <cell r="F218" t="str">
            <v>ANCHIETA - SENADOR VERGUEIRO</v>
          </cell>
          <cell r="G218" t="str">
            <v>SÃO BERNARDO DO CAMPO</v>
          </cell>
          <cell r="H218" t="str">
            <v>SP SUL X</v>
          </cell>
          <cell r="I218" t="str">
            <v>P</v>
          </cell>
          <cell r="J218">
            <v>3</v>
          </cell>
          <cell r="K218" t="str">
            <v>DIURNO</v>
          </cell>
          <cell r="L218" t="str">
            <v>NATHALIA</v>
          </cell>
          <cell r="M218" t="str">
            <v>UBER</v>
          </cell>
          <cell r="N218">
            <v>0.29166666666666669</v>
          </cell>
        </row>
        <row r="219">
          <cell r="A219" t="str">
            <v>OXX1098981</v>
          </cell>
          <cell r="B219" t="str">
            <v>OXX</v>
          </cell>
          <cell r="C219">
            <v>1098981</v>
          </cell>
          <cell r="D219">
            <v>45146</v>
          </cell>
          <cell r="E219" t="str">
            <v xml:space="preserve">RUA PASCOAL VITA , 277 </v>
          </cell>
          <cell r="F219" t="str">
            <v>VILA MADALENA - PASVITAL</v>
          </cell>
          <cell r="G219" t="str">
            <v>SÃO PAULO</v>
          </cell>
          <cell r="H219" t="str">
            <v>SP SUL X</v>
          </cell>
          <cell r="I219" t="str">
            <v>P</v>
          </cell>
          <cell r="J219">
            <v>3</v>
          </cell>
          <cell r="K219" t="str">
            <v>DIURNO</v>
          </cell>
          <cell r="L219" t="str">
            <v>FLAVIA</v>
          </cell>
          <cell r="M219" t="str">
            <v>NÃO</v>
          </cell>
          <cell r="N219" t="str">
            <v>NÃO</v>
          </cell>
        </row>
        <row r="220">
          <cell r="A220" t="str">
            <v>OXX1100103</v>
          </cell>
          <cell r="B220" t="str">
            <v>OXX</v>
          </cell>
          <cell r="C220">
            <v>1100103</v>
          </cell>
          <cell r="D220">
            <v>45146</v>
          </cell>
          <cell r="E220" t="str">
            <v>RUA SERAFIM CONSTANTINO , 30</v>
          </cell>
          <cell r="F220" t="str">
            <v>CENTRO - ESTAÇÃO</v>
          </cell>
          <cell r="G220" t="str">
            <v>SÃO CAETANO DO SUL</v>
          </cell>
          <cell r="H220" t="str">
            <v>SP SUL X</v>
          </cell>
          <cell r="I220" t="str">
            <v>P</v>
          </cell>
          <cell r="J220">
            <v>3</v>
          </cell>
          <cell r="K220" t="str">
            <v>DIURNO</v>
          </cell>
          <cell r="L220" t="str">
            <v>CLAUDIA</v>
          </cell>
          <cell r="M220" t="str">
            <v>UBER</v>
          </cell>
          <cell r="N220">
            <v>0.29166666666666669</v>
          </cell>
        </row>
        <row r="221">
          <cell r="A221" t="str">
            <v>SHX1087739</v>
          </cell>
          <cell r="B221" t="str">
            <v>SHX</v>
          </cell>
          <cell r="C221">
            <v>1087739</v>
          </cell>
          <cell r="D221">
            <v>45146</v>
          </cell>
          <cell r="E221" t="str">
            <v>AV : NICOLA DEMARCHI , 575 ( ESQUINA )</v>
          </cell>
          <cell r="F221" t="str">
            <v>DEMARCHI - ESTÔNIA 5</v>
          </cell>
          <cell r="G221" t="str">
            <v>SÃO BERNARDO DO CAMPO</v>
          </cell>
          <cell r="H221" t="str">
            <v>SP SUL X</v>
          </cell>
          <cell r="I221" t="str">
            <v>P</v>
          </cell>
          <cell r="J221">
            <v>2</v>
          </cell>
          <cell r="K221" t="str">
            <v>DIURNO</v>
          </cell>
          <cell r="L221" t="str">
            <v>RAYANE</v>
          </cell>
          <cell r="M221" t="str">
            <v>UBER</v>
          </cell>
          <cell r="N221">
            <v>0.29166666666666669</v>
          </cell>
        </row>
        <row r="222">
          <cell r="A222" t="str">
            <v/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 t="str">
            <v>Total</v>
          </cell>
          <cell r="J222">
            <v>355</v>
          </cell>
          <cell r="K222">
            <v>235</v>
          </cell>
          <cell r="L222">
            <v>0</v>
          </cell>
          <cell r="M222">
            <v>0</v>
          </cell>
          <cell r="N222">
            <v>0</v>
          </cell>
        </row>
        <row r="223">
          <cell r="A223" t="str">
            <v/>
          </cell>
          <cell r="B223">
            <v>0</v>
          </cell>
          <cell r="C223">
            <v>0</v>
          </cell>
          <cell r="D223">
            <v>0</v>
          </cell>
          <cell r="E223">
            <v>45147</v>
          </cell>
          <cell r="F223" t="str">
            <v>QUARTA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CDG957</v>
          </cell>
          <cell r="B224" t="str">
            <v>CDG</v>
          </cell>
          <cell r="C224">
            <v>957</v>
          </cell>
          <cell r="D224">
            <v>45147</v>
          </cell>
          <cell r="E224" t="str">
            <v>RUA MATHIAS , 555</v>
          </cell>
          <cell r="F224" t="str">
            <v>MATHIAS VELHO</v>
          </cell>
          <cell r="G224" t="str">
            <v>CANOAS</v>
          </cell>
          <cell r="H224" t="str">
            <v>PORTO ALEGRE</v>
          </cell>
          <cell r="I224" t="str">
            <v>T</v>
          </cell>
          <cell r="J224">
            <v>6</v>
          </cell>
          <cell r="K224">
            <v>0</v>
          </cell>
          <cell r="L224" t="str">
            <v>HEVERTON</v>
          </cell>
          <cell r="M224" t="str">
            <v>NÃO</v>
          </cell>
          <cell r="N224" t="str">
            <v>NÃO</v>
          </cell>
        </row>
        <row r="225">
          <cell r="A225" t="str">
            <v>CFO150</v>
          </cell>
          <cell r="B225" t="str">
            <v>CFO</v>
          </cell>
          <cell r="C225">
            <v>150</v>
          </cell>
          <cell r="D225">
            <v>45147</v>
          </cell>
          <cell r="E225" t="str">
            <v>RUA MATHIAS , 555</v>
          </cell>
          <cell r="F225" t="str">
            <v>MATHIAS VELHO</v>
          </cell>
          <cell r="G225" t="str">
            <v>CANOAS</v>
          </cell>
          <cell r="H225" t="str">
            <v>PORTO ALEGRE</v>
          </cell>
          <cell r="I225" t="str">
            <v>PNA</v>
          </cell>
          <cell r="J225">
            <v>29</v>
          </cell>
          <cell r="K225">
            <v>0</v>
          </cell>
          <cell r="L225" t="str">
            <v>PAVAN</v>
          </cell>
          <cell r="M225" t="str">
            <v>NÃO</v>
          </cell>
          <cell r="N225" t="str">
            <v>NÃO</v>
          </cell>
        </row>
        <row r="226">
          <cell r="A226" t="str">
            <v>FSJ1304</v>
          </cell>
          <cell r="B226" t="str">
            <v>FSJ</v>
          </cell>
          <cell r="C226">
            <v>1304</v>
          </cell>
          <cell r="D226">
            <v>45147</v>
          </cell>
          <cell r="E226" t="str">
            <v>RUA PROF. DOUTOR ARAÚJO , 377</v>
          </cell>
          <cell r="F226" t="str">
            <v>CENTRO - PEL 32</v>
          </cell>
          <cell r="G226" t="str">
            <v>PELOTAS</v>
          </cell>
          <cell r="H226" t="str">
            <v>PORTO ALEGRE</v>
          </cell>
          <cell r="I226" t="str">
            <v>T</v>
          </cell>
          <cell r="J226">
            <v>11</v>
          </cell>
          <cell r="K226" t="str">
            <v>EQ. PELOTAS</v>
          </cell>
          <cell r="L226" t="str">
            <v>PATRINE</v>
          </cell>
          <cell r="M226" t="str">
            <v>NÃO</v>
          </cell>
          <cell r="N226" t="str">
            <v>NÃO</v>
          </cell>
        </row>
        <row r="227">
          <cell r="A227" t="str">
            <v>SAM4857</v>
          </cell>
          <cell r="B227" t="str">
            <v>SAM</v>
          </cell>
          <cell r="C227">
            <v>4857</v>
          </cell>
          <cell r="D227">
            <v>45147</v>
          </cell>
          <cell r="E227" t="str">
            <v>BR 277 RODOVIA CURITIBA x PONTA GROSSA , 65</v>
          </cell>
          <cell r="F227" t="str">
            <v>BARIGUI</v>
          </cell>
          <cell r="G227" t="str">
            <v>CURITIBA</v>
          </cell>
          <cell r="H227" t="str">
            <v>PR CURITIBA</v>
          </cell>
          <cell r="I227" t="str">
            <v>T</v>
          </cell>
          <cell r="J227">
            <v>34</v>
          </cell>
          <cell r="K227" t="str">
            <v>CA 02 DIAS</v>
          </cell>
          <cell r="L227" t="str">
            <v>HENRIQUE</v>
          </cell>
          <cell r="M227" t="str">
            <v>NÃO</v>
          </cell>
          <cell r="N227" t="str">
            <v>NÃO</v>
          </cell>
        </row>
        <row r="228">
          <cell r="A228" t="str">
            <v>GUY3</v>
          </cell>
          <cell r="B228" t="str">
            <v>GUY</v>
          </cell>
          <cell r="C228">
            <v>3</v>
          </cell>
          <cell r="D228">
            <v>45147</v>
          </cell>
          <cell r="E228" t="str">
            <v>AV : MILITÃO RODRIGUES DE CARVALHO , 1284</v>
          </cell>
          <cell r="F228" t="str">
            <v>DISTRITO DE SUMARÉ</v>
          </cell>
          <cell r="G228" t="str">
            <v>PARANAVAÍ</v>
          </cell>
          <cell r="H228" t="str">
            <v>PR LONDRINA</v>
          </cell>
          <cell r="I228" t="str">
            <v>T</v>
          </cell>
          <cell r="J228">
            <v>17</v>
          </cell>
          <cell r="K228">
            <v>0</v>
          </cell>
          <cell r="L228" t="str">
            <v>MARIANA/ALINE</v>
          </cell>
          <cell r="M228" t="str">
            <v>01 VAN e 01 CARRO</v>
          </cell>
          <cell r="N228">
            <v>0.625</v>
          </cell>
        </row>
        <row r="229">
          <cell r="A229" t="str">
            <v>CDG935</v>
          </cell>
          <cell r="B229" t="str">
            <v>CDG</v>
          </cell>
          <cell r="C229">
            <v>935</v>
          </cell>
          <cell r="D229">
            <v>45147</v>
          </cell>
          <cell r="E229" t="str">
            <v>ESTRADA DAS CAPOEIRAS , 355</v>
          </cell>
          <cell r="F229" t="str">
            <v>CAMPO GRANDE</v>
          </cell>
          <cell r="G229" t="str">
            <v>RIO DE JANEIRO</v>
          </cell>
          <cell r="H229" t="str">
            <v>RJ</v>
          </cell>
          <cell r="I229" t="str">
            <v>T</v>
          </cell>
          <cell r="J229">
            <v>6</v>
          </cell>
          <cell r="K229">
            <v>0</v>
          </cell>
          <cell r="L229" t="str">
            <v>RAFAEL</v>
          </cell>
          <cell r="M229" t="str">
            <v>NÃO</v>
          </cell>
          <cell r="N229" t="str">
            <v>NÃO</v>
          </cell>
        </row>
        <row r="230">
          <cell r="A230" t="str">
            <v>CFO327</v>
          </cell>
          <cell r="B230" t="str">
            <v>CFO</v>
          </cell>
          <cell r="C230">
            <v>327</v>
          </cell>
          <cell r="D230">
            <v>45147</v>
          </cell>
          <cell r="E230" t="str">
            <v>ESTRADA DAS CAPOEIRAS , 355</v>
          </cell>
          <cell r="F230" t="str">
            <v>CAMPO GRANDE</v>
          </cell>
          <cell r="G230" t="str">
            <v>RIO DE JANEIRO</v>
          </cell>
          <cell r="H230" t="str">
            <v>RJ</v>
          </cell>
          <cell r="I230" t="str">
            <v>PNA</v>
          </cell>
          <cell r="J230">
            <v>15</v>
          </cell>
          <cell r="K230">
            <v>0</v>
          </cell>
          <cell r="L230" t="str">
            <v>ANTÔNIO</v>
          </cell>
          <cell r="M230" t="str">
            <v>NÃO</v>
          </cell>
          <cell r="N230" t="str">
            <v>NÃO</v>
          </cell>
        </row>
        <row r="231">
          <cell r="A231" t="str">
            <v>DSP2128</v>
          </cell>
          <cell r="B231" t="str">
            <v>DSP</v>
          </cell>
          <cell r="C231">
            <v>2128</v>
          </cell>
          <cell r="D231">
            <v>45147</v>
          </cell>
          <cell r="E231" t="str">
            <v>AV : NOVE DE JULHO , 1339</v>
          </cell>
          <cell r="F231" t="str">
            <v>VILA SEIXAS</v>
          </cell>
          <cell r="G231" t="str">
            <v>RIBEIRÃO PRETO</v>
          </cell>
          <cell r="H231" t="str">
            <v>SP INT BAURU</v>
          </cell>
          <cell r="I231" t="str">
            <v>T</v>
          </cell>
          <cell r="J231">
            <v>12</v>
          </cell>
          <cell r="K231">
            <v>0</v>
          </cell>
          <cell r="L231" t="str">
            <v>ROSÂNGELA</v>
          </cell>
          <cell r="M231" t="str">
            <v>01 VAN</v>
          </cell>
          <cell r="N231">
            <v>0.6875</v>
          </cell>
        </row>
        <row r="232">
          <cell r="A232" t="str">
            <v>OXX1086081</v>
          </cell>
          <cell r="B232" t="str">
            <v>OXX</v>
          </cell>
          <cell r="C232">
            <v>1086081</v>
          </cell>
          <cell r="D232">
            <v>45147</v>
          </cell>
          <cell r="E232" t="str">
            <v>RUA MAJOR SOLON , 676</v>
          </cell>
          <cell r="F232" t="str">
            <v>CAMBUÍ - LAVANDERIA</v>
          </cell>
          <cell r="G232" t="str">
            <v>CAMPINAS</v>
          </cell>
          <cell r="H232" t="str">
            <v>SP INT CPN</v>
          </cell>
          <cell r="I232" t="str">
            <v>P</v>
          </cell>
          <cell r="J232">
            <v>3</v>
          </cell>
          <cell r="K232" t="str">
            <v>DIURNO</v>
          </cell>
          <cell r="L232" t="str">
            <v>IZABELA/THALIA</v>
          </cell>
          <cell r="M232" t="str">
            <v>NÃO</v>
          </cell>
          <cell r="N232" t="str">
            <v>NÃO</v>
          </cell>
        </row>
        <row r="233">
          <cell r="A233" t="str">
            <v>OXX1093933</v>
          </cell>
          <cell r="B233" t="str">
            <v>OXX</v>
          </cell>
          <cell r="C233">
            <v>1093933</v>
          </cell>
          <cell r="D233">
            <v>45147</v>
          </cell>
          <cell r="E233" t="str">
            <v xml:space="preserve">AV : LUIZ JOSÉ SERENO , 820 </v>
          </cell>
          <cell r="F233" t="str">
            <v>JD. ERMIDA II - FAVARO SERENO</v>
          </cell>
          <cell r="G233" t="str">
            <v>JUNDIAÍ</v>
          </cell>
          <cell r="H233" t="str">
            <v>SP INT CPN</v>
          </cell>
          <cell r="I233" t="str">
            <v>P</v>
          </cell>
          <cell r="J233">
            <v>3</v>
          </cell>
          <cell r="K233" t="str">
            <v>DIURNO</v>
          </cell>
          <cell r="L233" t="str">
            <v>LETÍCIA/EVA</v>
          </cell>
          <cell r="M233" t="str">
            <v>UBER</v>
          </cell>
          <cell r="N233">
            <v>0.29166666666666669</v>
          </cell>
        </row>
        <row r="234">
          <cell r="A234" t="str">
            <v>OXX1094060</v>
          </cell>
          <cell r="B234" t="str">
            <v>OXX</v>
          </cell>
          <cell r="C234">
            <v>1094060</v>
          </cell>
          <cell r="D234">
            <v>45147</v>
          </cell>
          <cell r="E234" t="str">
            <v>AV : FRANCISCO GLICÉRIO , 590 / 596</v>
          </cell>
          <cell r="F234" t="str">
            <v>CENTRO - GLICÉRIO</v>
          </cell>
          <cell r="G234" t="str">
            <v>CAMPINAS</v>
          </cell>
          <cell r="H234" t="str">
            <v>SP INT CPN</v>
          </cell>
          <cell r="I234" t="str">
            <v>P</v>
          </cell>
          <cell r="J234">
            <v>3</v>
          </cell>
          <cell r="K234" t="str">
            <v>DIURNO</v>
          </cell>
          <cell r="L234" t="str">
            <v>LEONARDO</v>
          </cell>
          <cell r="M234" t="str">
            <v>NÃO</v>
          </cell>
          <cell r="N234" t="str">
            <v>NÃO</v>
          </cell>
        </row>
        <row r="235">
          <cell r="A235" t="str">
            <v>CDG869</v>
          </cell>
          <cell r="B235" t="str">
            <v>CDG</v>
          </cell>
          <cell r="C235">
            <v>869</v>
          </cell>
          <cell r="D235">
            <v>45147</v>
          </cell>
          <cell r="E235" t="str">
            <v>AV : PRESIDENTE KENNEDY , 404</v>
          </cell>
          <cell r="F235" t="str">
            <v>CIDADE NOVA I</v>
          </cell>
          <cell r="G235" t="str">
            <v>INDAIATUBA</v>
          </cell>
          <cell r="H235" t="str">
            <v>SP INT LIMEIRA</v>
          </cell>
          <cell r="I235" t="str">
            <v>T</v>
          </cell>
          <cell r="J235">
            <v>6</v>
          </cell>
          <cell r="K235">
            <v>0</v>
          </cell>
          <cell r="L235" t="str">
            <v>EMERSON</v>
          </cell>
          <cell r="M235" t="str">
            <v>01 VAN</v>
          </cell>
          <cell r="N235">
            <v>0.70833333333333337</v>
          </cell>
        </row>
        <row r="236">
          <cell r="A236" t="str">
            <v>CFB26</v>
          </cell>
          <cell r="B236" t="str">
            <v>CFB</v>
          </cell>
          <cell r="C236">
            <v>26</v>
          </cell>
          <cell r="D236">
            <v>45147</v>
          </cell>
          <cell r="E236" t="str">
            <v>AV : PRESIDENTE KENNEDY , 404</v>
          </cell>
          <cell r="F236" t="str">
            <v>CIDADE NOVA I</v>
          </cell>
          <cell r="G236" t="str">
            <v>INDAIATUBA</v>
          </cell>
          <cell r="H236" t="str">
            <v>SP INT LIMEIRA</v>
          </cell>
          <cell r="I236" t="str">
            <v>T</v>
          </cell>
          <cell r="J236">
            <v>9</v>
          </cell>
          <cell r="K236" t="str">
            <v>APOIO SUL</v>
          </cell>
          <cell r="L236" t="str">
            <v>GUSTAVO</v>
          </cell>
          <cell r="M236">
            <v>0</v>
          </cell>
          <cell r="N236">
            <v>0.70833333333333337</v>
          </cell>
        </row>
        <row r="237">
          <cell r="A237" t="str">
            <v>CDG702</v>
          </cell>
          <cell r="B237" t="str">
            <v>CDG</v>
          </cell>
          <cell r="C237">
            <v>702</v>
          </cell>
          <cell r="D237">
            <v>45147</v>
          </cell>
          <cell r="E237" t="str">
            <v>RUA ALEXANDRE MARTINS , 80</v>
          </cell>
          <cell r="F237" t="str">
            <v>PRAIAMAR SHOPPING</v>
          </cell>
          <cell r="G237" t="str">
            <v>SANTOS</v>
          </cell>
          <cell r="H237" t="str">
            <v>SP LESTE</v>
          </cell>
          <cell r="I237" t="str">
            <v>T</v>
          </cell>
          <cell r="J237">
            <v>7</v>
          </cell>
          <cell r="K237">
            <v>0</v>
          </cell>
          <cell r="L237" t="str">
            <v>ANTÔNIO</v>
          </cell>
          <cell r="M237" t="str">
            <v>02 VANS</v>
          </cell>
          <cell r="N237">
            <v>0.66666666666666663</v>
          </cell>
        </row>
        <row r="238">
          <cell r="A238" t="str">
            <v>CFO394</v>
          </cell>
          <cell r="B238" t="str">
            <v>CFO</v>
          </cell>
          <cell r="C238">
            <v>394</v>
          </cell>
          <cell r="D238">
            <v>45147</v>
          </cell>
          <cell r="E238" t="str">
            <v>RUA ALEXANDRE MARTINS , 80</v>
          </cell>
          <cell r="F238" t="str">
            <v>PRAIAMAR SHOPPING</v>
          </cell>
          <cell r="G238" t="str">
            <v>SANTOS</v>
          </cell>
          <cell r="H238" t="str">
            <v>SP LESTE</v>
          </cell>
          <cell r="I238" t="str">
            <v>PNA</v>
          </cell>
          <cell r="J238">
            <v>18</v>
          </cell>
          <cell r="K238">
            <v>0</v>
          </cell>
          <cell r="L238" t="str">
            <v>LUANA/MARCELO</v>
          </cell>
          <cell r="M238">
            <v>0</v>
          </cell>
          <cell r="N238">
            <v>0.66666666666666663</v>
          </cell>
        </row>
        <row r="239">
          <cell r="A239" t="str">
            <v>DSP154</v>
          </cell>
          <cell r="B239" t="str">
            <v>DSP</v>
          </cell>
          <cell r="C239">
            <v>154</v>
          </cell>
          <cell r="D239">
            <v>45147</v>
          </cell>
          <cell r="E239" t="str">
            <v>AV : GUAPIRA , 2386</v>
          </cell>
          <cell r="F239" t="str">
            <v>TUCURUVI - 24h</v>
          </cell>
          <cell r="G239" t="str">
            <v>SÃO PAULO</v>
          </cell>
          <cell r="H239" t="str">
            <v>SP LESTE</v>
          </cell>
          <cell r="I239" t="str">
            <v>T</v>
          </cell>
          <cell r="J239">
            <v>13</v>
          </cell>
          <cell r="K239">
            <v>0</v>
          </cell>
          <cell r="L239" t="str">
            <v>JÉSSICA</v>
          </cell>
          <cell r="M239" t="str">
            <v>NÃO</v>
          </cell>
          <cell r="N239" t="str">
            <v>NÃO</v>
          </cell>
        </row>
        <row r="240">
          <cell r="A240" t="str">
            <v>GIG304</v>
          </cell>
          <cell r="B240" t="str">
            <v>GIG</v>
          </cell>
          <cell r="C240">
            <v>304</v>
          </cell>
          <cell r="D240">
            <v>45147</v>
          </cell>
          <cell r="E240" t="str">
            <v>AV : CORONEL SEZEFREDO FAGUNDES , 1928</v>
          </cell>
          <cell r="F240" t="str">
            <v>TUCURUVI</v>
          </cell>
          <cell r="G240" t="str">
            <v>SÃO PAULO</v>
          </cell>
          <cell r="H240" t="str">
            <v>SP LESTE</v>
          </cell>
          <cell r="I240" t="str">
            <v>CP</v>
          </cell>
          <cell r="J240">
            <v>1</v>
          </cell>
          <cell r="K240" t="str">
            <v>DIURNO</v>
          </cell>
          <cell r="L240" t="str">
            <v>GINA</v>
          </cell>
          <cell r="M240" t="str">
            <v>NÃO</v>
          </cell>
          <cell r="N240" t="str">
            <v>NÃO</v>
          </cell>
        </row>
        <row r="241">
          <cell r="A241" t="str">
            <v>GIG304</v>
          </cell>
          <cell r="B241" t="str">
            <v>GIG</v>
          </cell>
          <cell r="C241">
            <v>304</v>
          </cell>
          <cell r="D241">
            <v>45147</v>
          </cell>
          <cell r="E241" t="str">
            <v>AV : CORONEL SEZEFREDO FAGUNDES , 1928</v>
          </cell>
          <cell r="F241" t="str">
            <v>TUCURUVI</v>
          </cell>
          <cell r="G241" t="str">
            <v>SÃO PAULO</v>
          </cell>
          <cell r="H241" t="str">
            <v>SP LESTE</v>
          </cell>
          <cell r="I241" t="str">
            <v>T</v>
          </cell>
          <cell r="J241">
            <v>42</v>
          </cell>
          <cell r="K241">
            <v>0</v>
          </cell>
          <cell r="L241" t="str">
            <v>PATRÍCIA/LUÍS</v>
          </cell>
          <cell r="M241" t="str">
            <v>NÃO</v>
          </cell>
          <cell r="N241" t="str">
            <v>NÃO</v>
          </cell>
        </row>
        <row r="242">
          <cell r="A242" t="str">
            <v>PMO10</v>
          </cell>
          <cell r="B242" t="str">
            <v>PMO</v>
          </cell>
          <cell r="C242">
            <v>10</v>
          </cell>
          <cell r="D242">
            <v>45147</v>
          </cell>
          <cell r="E242" t="str">
            <v>AV : ANTONELO DA MESSINA , 1047</v>
          </cell>
          <cell r="F242" t="str">
            <v>TREMEMBÉ - VILA ZILDA</v>
          </cell>
          <cell r="G242" t="str">
            <v>SÃO PAULO</v>
          </cell>
          <cell r="H242" t="str">
            <v>SP LESTE</v>
          </cell>
          <cell r="I242" t="str">
            <v>T</v>
          </cell>
          <cell r="J242">
            <v>5</v>
          </cell>
          <cell r="K242">
            <v>0</v>
          </cell>
          <cell r="L242" t="str">
            <v>TAMIRES</v>
          </cell>
          <cell r="M242" t="str">
            <v>NÃO</v>
          </cell>
          <cell r="N242" t="str">
            <v>NÃO</v>
          </cell>
        </row>
        <row r="243">
          <cell r="A243" t="str">
            <v>OXX1092420</v>
          </cell>
          <cell r="B243" t="str">
            <v>OXX</v>
          </cell>
          <cell r="C243">
            <v>1092420</v>
          </cell>
          <cell r="D243">
            <v>45147</v>
          </cell>
          <cell r="E243" t="str">
            <v>AV : BRIG. FARIA LIMA , 1235</v>
          </cell>
          <cell r="F243" t="str">
            <v>JD. PAULISTANO - FARIA LIMA</v>
          </cell>
          <cell r="G243" t="str">
            <v>SÃO PAULO</v>
          </cell>
          <cell r="H243" t="str">
            <v>SP LESTE X</v>
          </cell>
          <cell r="I243" t="str">
            <v>P</v>
          </cell>
          <cell r="J243">
            <v>3</v>
          </cell>
          <cell r="K243" t="str">
            <v>DIURNO</v>
          </cell>
          <cell r="L243" t="str">
            <v>CÁSSIA</v>
          </cell>
          <cell r="M243" t="str">
            <v>NÃO</v>
          </cell>
          <cell r="N243" t="str">
            <v>NÃO</v>
          </cell>
        </row>
        <row r="244">
          <cell r="A244" t="str">
            <v>OXX1095996</v>
          </cell>
          <cell r="B244" t="str">
            <v>OXX</v>
          </cell>
          <cell r="C244">
            <v>1095996</v>
          </cell>
          <cell r="D244">
            <v>45147</v>
          </cell>
          <cell r="E244" t="str">
            <v>AV : LINS DE VASCONCELOS , 1695</v>
          </cell>
          <cell r="F244" t="str">
            <v>CAMBUCI - SANTA MAFALDA</v>
          </cell>
          <cell r="G244" t="str">
            <v>SÃO PAULO</v>
          </cell>
          <cell r="H244" t="str">
            <v>SP LESTE X</v>
          </cell>
          <cell r="I244" t="str">
            <v>P</v>
          </cell>
          <cell r="J244">
            <v>3</v>
          </cell>
          <cell r="K244" t="str">
            <v>DIURNO</v>
          </cell>
          <cell r="L244" t="str">
            <v>JOSÉ WELVYS/KAIQUE</v>
          </cell>
          <cell r="M244" t="str">
            <v>NÃO</v>
          </cell>
          <cell r="N244" t="str">
            <v>NÃO</v>
          </cell>
        </row>
        <row r="245">
          <cell r="A245" t="str">
            <v>OXX1096379</v>
          </cell>
          <cell r="B245" t="str">
            <v>OXX</v>
          </cell>
          <cell r="C245">
            <v>1096379</v>
          </cell>
          <cell r="D245">
            <v>45147</v>
          </cell>
          <cell r="E245" t="str">
            <v>AV : LEONARDO DA VINCI , 2429</v>
          </cell>
          <cell r="F245" t="str">
            <v>VILA GUARANI</v>
          </cell>
          <cell r="G245" t="str">
            <v>SÃO PAULO</v>
          </cell>
          <cell r="H245" t="str">
            <v>SP LESTE X</v>
          </cell>
          <cell r="I245" t="str">
            <v>P</v>
          </cell>
          <cell r="J245">
            <v>3</v>
          </cell>
          <cell r="K245" t="str">
            <v>DIURNO</v>
          </cell>
          <cell r="L245" t="str">
            <v>GAMA/JOYCE</v>
          </cell>
          <cell r="M245" t="str">
            <v>NÃO</v>
          </cell>
          <cell r="N245" t="str">
            <v>NÃO</v>
          </cell>
        </row>
        <row r="246">
          <cell r="A246" t="str">
            <v>OXX1099746</v>
          </cell>
          <cell r="B246" t="str">
            <v>OXX</v>
          </cell>
          <cell r="C246">
            <v>1099746</v>
          </cell>
          <cell r="D246">
            <v>45147</v>
          </cell>
          <cell r="E246" t="str">
            <v>RUA NATINGUI , 787</v>
          </cell>
          <cell r="F246" t="str">
            <v>VILA MADALENA - ESQ. SURREAL</v>
          </cell>
          <cell r="G246" t="str">
            <v>SÃO PAULO</v>
          </cell>
          <cell r="H246" t="str">
            <v>SP LESTE X</v>
          </cell>
          <cell r="I246" t="str">
            <v>P</v>
          </cell>
          <cell r="J246">
            <v>3</v>
          </cell>
          <cell r="K246" t="str">
            <v>DIURNO</v>
          </cell>
          <cell r="L246" t="str">
            <v>ARTHUR</v>
          </cell>
          <cell r="M246" t="str">
            <v>NÃO</v>
          </cell>
          <cell r="N246" t="str">
            <v>NÃO</v>
          </cell>
        </row>
        <row r="247">
          <cell r="A247" t="str">
            <v>OXX1100124</v>
          </cell>
          <cell r="B247" t="str">
            <v>OXX</v>
          </cell>
          <cell r="C247">
            <v>1100124</v>
          </cell>
          <cell r="D247">
            <v>45147</v>
          </cell>
          <cell r="E247" t="str">
            <v>RUA ITAVERAVA , 278</v>
          </cell>
          <cell r="F247" t="str">
            <v>CAMARGOS - ITAVERAVA</v>
          </cell>
          <cell r="G247" t="str">
            <v>GUARULHOS</v>
          </cell>
          <cell r="H247" t="str">
            <v>SP LESTE X</v>
          </cell>
          <cell r="I247" t="str">
            <v>P</v>
          </cell>
          <cell r="J247">
            <v>3</v>
          </cell>
          <cell r="K247" t="str">
            <v>DIURNO</v>
          </cell>
          <cell r="L247" t="str">
            <v>ANDERSON</v>
          </cell>
          <cell r="M247" t="str">
            <v>UBER</v>
          </cell>
          <cell r="N247">
            <v>0.29166666666666669</v>
          </cell>
        </row>
        <row r="248">
          <cell r="A248" t="str">
            <v>CFB26</v>
          </cell>
          <cell r="B248" t="str">
            <v>CFB</v>
          </cell>
          <cell r="C248">
            <v>26</v>
          </cell>
          <cell r="D248">
            <v>45147</v>
          </cell>
          <cell r="E248" t="str">
            <v>AV : PRESIDENTE KENNEDY , 404</v>
          </cell>
          <cell r="F248" t="str">
            <v>CIDADE NOVA I</v>
          </cell>
          <cell r="G248" t="str">
            <v>INDAIATUBA</v>
          </cell>
          <cell r="H248" t="str">
            <v>SP SUL</v>
          </cell>
          <cell r="I248" t="str">
            <v>APOIO</v>
          </cell>
          <cell r="J248">
            <v>11</v>
          </cell>
          <cell r="K248">
            <v>0</v>
          </cell>
          <cell r="L248" t="str">
            <v>A DEFINIR</v>
          </cell>
          <cell r="M248" t="str">
            <v>01 VAN</v>
          </cell>
          <cell r="N248">
            <v>0.66666666666666663</v>
          </cell>
        </row>
        <row r="249">
          <cell r="A249" t="str">
            <v>CFX558</v>
          </cell>
          <cell r="B249" t="str">
            <v>CFX</v>
          </cell>
          <cell r="C249">
            <v>558</v>
          </cell>
          <cell r="D249">
            <v>45147</v>
          </cell>
          <cell r="E249" t="str">
            <v>ALAMEDA SANTOS , 1787</v>
          </cell>
          <cell r="F249" t="str">
            <v>CERQUEIRA CÉSAR</v>
          </cell>
          <cell r="G249" t="str">
            <v>SÃO PAULO</v>
          </cell>
          <cell r="H249" t="str">
            <v>SP SUL</v>
          </cell>
          <cell r="I249" t="str">
            <v>T</v>
          </cell>
          <cell r="J249">
            <v>10</v>
          </cell>
          <cell r="K249">
            <v>0</v>
          </cell>
          <cell r="L249" t="str">
            <v>JUSCELINO</v>
          </cell>
          <cell r="M249" t="str">
            <v>NÃO</v>
          </cell>
          <cell r="N249" t="str">
            <v>NÃO</v>
          </cell>
        </row>
        <row r="250">
          <cell r="A250" t="str">
            <v>CFX645</v>
          </cell>
          <cell r="B250" t="str">
            <v>CFX</v>
          </cell>
          <cell r="C250">
            <v>645</v>
          </cell>
          <cell r="D250">
            <v>45147</v>
          </cell>
          <cell r="E250" t="str">
            <v>AV : PAULISTA , 2073</v>
          </cell>
          <cell r="F250" t="str">
            <v>CONJUNTO NACIONAL</v>
          </cell>
          <cell r="G250" t="str">
            <v>SÃO PAULO</v>
          </cell>
          <cell r="H250" t="str">
            <v>SP SUL</v>
          </cell>
          <cell r="I250" t="str">
            <v>T</v>
          </cell>
          <cell r="J250">
            <v>10</v>
          </cell>
          <cell r="K250">
            <v>0</v>
          </cell>
          <cell r="L250" t="str">
            <v>CARLOS</v>
          </cell>
          <cell r="M250" t="str">
            <v>NÃO</v>
          </cell>
          <cell r="N250" t="str">
            <v>NÃO</v>
          </cell>
        </row>
        <row r="251">
          <cell r="A251" t="str">
            <v>DSP280</v>
          </cell>
          <cell r="B251" t="str">
            <v>DSP</v>
          </cell>
          <cell r="C251">
            <v>280</v>
          </cell>
          <cell r="D251">
            <v>45147</v>
          </cell>
          <cell r="E251" t="str">
            <v>AV : CUPECÊ , 4613</v>
          </cell>
          <cell r="F251" t="str">
            <v>JD. PRUDÊNCIA</v>
          </cell>
          <cell r="G251" t="str">
            <v>SÃO PAULO</v>
          </cell>
          <cell r="H251" t="str">
            <v>SP SUL</v>
          </cell>
          <cell r="I251" t="str">
            <v>T</v>
          </cell>
          <cell r="J251">
            <v>12</v>
          </cell>
          <cell r="K251">
            <v>0</v>
          </cell>
          <cell r="L251" t="str">
            <v>ELAINE</v>
          </cell>
          <cell r="M251" t="str">
            <v>NÃO</v>
          </cell>
          <cell r="N251" t="str">
            <v>NÃO</v>
          </cell>
        </row>
        <row r="252">
          <cell r="A252" t="str">
            <v>PMO67</v>
          </cell>
          <cell r="B252" t="str">
            <v>PMO</v>
          </cell>
          <cell r="C252">
            <v>67</v>
          </cell>
          <cell r="D252">
            <v>45147</v>
          </cell>
          <cell r="E252" t="str">
            <v>ESTRADA DO ALVARENGA , 1851/1857</v>
          </cell>
          <cell r="F252" t="str">
            <v>BALNEÁRIO MAR PAULISTA</v>
          </cell>
          <cell r="G252" t="str">
            <v>SÃO PAULO</v>
          </cell>
          <cell r="H252" t="str">
            <v>SP SUL</v>
          </cell>
          <cell r="I252" t="str">
            <v>T</v>
          </cell>
          <cell r="J252">
            <v>4</v>
          </cell>
          <cell r="K252">
            <v>0</v>
          </cell>
          <cell r="L252" t="str">
            <v>FERNANDO</v>
          </cell>
          <cell r="M252" t="str">
            <v>NÃO</v>
          </cell>
          <cell r="N252" t="str">
            <v>NÃO</v>
          </cell>
        </row>
        <row r="253">
          <cell r="A253" t="str">
            <v>PVI152</v>
          </cell>
          <cell r="B253" t="str">
            <v>PVI</v>
          </cell>
          <cell r="C253">
            <v>152</v>
          </cell>
          <cell r="D253">
            <v>45147</v>
          </cell>
          <cell r="E253" t="str">
            <v>AV : HIGIENÓPOLIS , 674 - HIGIENÓPOLIS</v>
          </cell>
          <cell r="F253" t="str">
            <v>SHOPPING PÁTIO HIGIENÓPOLIS</v>
          </cell>
          <cell r="G253" t="str">
            <v>SÃO PAULO</v>
          </cell>
          <cell r="H253" t="str">
            <v>SP SUL</v>
          </cell>
          <cell r="I253" t="str">
            <v>T</v>
          </cell>
          <cell r="J253">
            <v>6</v>
          </cell>
          <cell r="K253">
            <v>0</v>
          </cell>
          <cell r="L253" t="str">
            <v>YGOR</v>
          </cell>
          <cell r="M253" t="str">
            <v>NÃO</v>
          </cell>
          <cell r="N253" t="str">
            <v>NÃO</v>
          </cell>
        </row>
        <row r="254">
          <cell r="A254" t="str">
            <v>STMS118</v>
          </cell>
          <cell r="B254" t="str">
            <v>STM</v>
          </cell>
          <cell r="C254" t="str">
            <v>S118</v>
          </cell>
          <cell r="D254">
            <v>45147</v>
          </cell>
          <cell r="E254" t="str">
            <v>RUA PADRE ESTEVÃO PERNET , 767</v>
          </cell>
          <cell r="F254" t="str">
            <v>TATUAPÉ</v>
          </cell>
          <cell r="G254" t="str">
            <v>SÃO PAULO</v>
          </cell>
          <cell r="H254" t="str">
            <v>SP SUL</v>
          </cell>
          <cell r="I254" t="str">
            <v>T</v>
          </cell>
          <cell r="J254">
            <v>32</v>
          </cell>
          <cell r="K254">
            <v>0</v>
          </cell>
          <cell r="L254" t="str">
            <v>RUAN</v>
          </cell>
          <cell r="M254" t="str">
            <v>NÃO</v>
          </cell>
          <cell r="N254" t="str">
            <v>NÃO</v>
          </cell>
        </row>
        <row r="255">
          <cell r="A255" t="str">
            <v>OXX1094015</v>
          </cell>
          <cell r="B255" t="str">
            <v>OXX</v>
          </cell>
          <cell r="C255">
            <v>1094015</v>
          </cell>
          <cell r="D255">
            <v>45147</v>
          </cell>
          <cell r="E255" t="str">
            <v>RUA BERNARDINO DE CAMPOS , 227</v>
          </cell>
          <cell r="F255" t="str">
            <v>CAMPO BELO - BERNARDINO</v>
          </cell>
          <cell r="G255" t="str">
            <v>SÃO PAULO</v>
          </cell>
          <cell r="H255" t="str">
            <v>SP SUL X</v>
          </cell>
          <cell r="I255" t="str">
            <v>P</v>
          </cell>
          <cell r="J255">
            <v>3</v>
          </cell>
          <cell r="K255" t="str">
            <v>DIURNO</v>
          </cell>
          <cell r="L255" t="str">
            <v>JÉSSICA</v>
          </cell>
          <cell r="M255" t="str">
            <v>NÃO</v>
          </cell>
          <cell r="N255" t="str">
            <v>NÃO</v>
          </cell>
        </row>
        <row r="256">
          <cell r="A256" t="str">
            <v>OXX1095244</v>
          </cell>
          <cell r="B256" t="str">
            <v>OXX</v>
          </cell>
          <cell r="C256">
            <v>1095244</v>
          </cell>
          <cell r="D256">
            <v>45147</v>
          </cell>
          <cell r="E256" t="str">
            <v>RUA TUIUCUÊ , 73</v>
          </cell>
          <cell r="F256" t="str">
            <v>JD. DA SAÚDE</v>
          </cell>
          <cell r="G256" t="str">
            <v>SÃO PAULO</v>
          </cell>
          <cell r="H256" t="str">
            <v>SP SUL X</v>
          </cell>
          <cell r="I256" t="str">
            <v>P</v>
          </cell>
          <cell r="J256">
            <v>3</v>
          </cell>
          <cell r="K256" t="str">
            <v>DIURNO</v>
          </cell>
          <cell r="L256" t="str">
            <v>FLAVIA</v>
          </cell>
          <cell r="M256" t="str">
            <v>NÃO</v>
          </cell>
          <cell r="N256" t="str">
            <v>NÃO</v>
          </cell>
        </row>
        <row r="257">
          <cell r="A257" t="str">
            <v>OXX1096913</v>
          </cell>
          <cell r="B257" t="str">
            <v>OXX</v>
          </cell>
          <cell r="C257">
            <v>1096913</v>
          </cell>
          <cell r="D257">
            <v>45147</v>
          </cell>
          <cell r="E257" t="str">
            <v>AV : JURUCÊ , 541</v>
          </cell>
          <cell r="F257" t="str">
            <v>INDIANÓPOLIS - JU CLEAN</v>
          </cell>
          <cell r="G257" t="str">
            <v>SÃO PAULO</v>
          </cell>
          <cell r="H257" t="str">
            <v>SP SUL X</v>
          </cell>
          <cell r="I257" t="str">
            <v>P</v>
          </cell>
          <cell r="J257">
            <v>3</v>
          </cell>
          <cell r="K257" t="str">
            <v>DIURNO</v>
          </cell>
          <cell r="L257" t="str">
            <v>NATHALIA</v>
          </cell>
          <cell r="M257" t="str">
            <v>NÃO</v>
          </cell>
          <cell r="N257" t="str">
            <v>NÃO</v>
          </cell>
        </row>
        <row r="258">
          <cell r="A258" t="str">
            <v>OXX1097043</v>
          </cell>
          <cell r="B258" t="str">
            <v>OXX</v>
          </cell>
          <cell r="C258">
            <v>1097043</v>
          </cell>
          <cell r="D258">
            <v>45147</v>
          </cell>
          <cell r="E258" t="str">
            <v>RUA ALEXANDRE DUMAS , 2100</v>
          </cell>
          <cell r="F258" t="str">
            <v>SANTO AMARO - DUMAS</v>
          </cell>
          <cell r="G258" t="str">
            <v>SÃO PAULO</v>
          </cell>
          <cell r="H258" t="str">
            <v>SP SUL X</v>
          </cell>
          <cell r="I258" t="str">
            <v>P</v>
          </cell>
          <cell r="J258">
            <v>3</v>
          </cell>
          <cell r="K258" t="str">
            <v>DIURNO</v>
          </cell>
          <cell r="L258" t="str">
            <v>CLAUDIA</v>
          </cell>
          <cell r="M258" t="str">
            <v>NÃO</v>
          </cell>
          <cell r="N258" t="str">
            <v>NÃO</v>
          </cell>
        </row>
        <row r="259">
          <cell r="A259" t="str">
            <v>OXX1100191</v>
          </cell>
          <cell r="B259" t="str">
            <v>OXX</v>
          </cell>
          <cell r="C259">
            <v>1100191</v>
          </cell>
          <cell r="D259">
            <v>45147</v>
          </cell>
          <cell r="E259" t="str">
            <v>RUA REPÚBLICA DO IRAQUE , 1307</v>
          </cell>
          <cell r="F259" t="str">
            <v>CAMPO BELO - BAGDÁ</v>
          </cell>
          <cell r="G259" t="str">
            <v>SÃO PAULO</v>
          </cell>
          <cell r="H259" t="str">
            <v>SP SUL X</v>
          </cell>
          <cell r="I259" t="str">
            <v>P</v>
          </cell>
          <cell r="J259">
            <v>3</v>
          </cell>
          <cell r="K259" t="str">
            <v>DIURNO</v>
          </cell>
          <cell r="L259" t="str">
            <v>RAYANE</v>
          </cell>
          <cell r="M259" t="str">
            <v>NÃO</v>
          </cell>
          <cell r="N259" t="str">
            <v>NÃO</v>
          </cell>
        </row>
        <row r="260">
          <cell r="A260" t="str">
            <v>OXX1100263</v>
          </cell>
          <cell r="B260" t="str">
            <v>OXX</v>
          </cell>
          <cell r="C260">
            <v>1100263</v>
          </cell>
          <cell r="D260">
            <v>45147</v>
          </cell>
          <cell r="E260" t="str">
            <v>AV : GETÚLIO VARGAS , 1310</v>
          </cell>
          <cell r="F260" t="str">
            <v>BAETA NEVES</v>
          </cell>
          <cell r="G260" t="str">
            <v>SÃO BERNARDO DO CAMPO</v>
          </cell>
          <cell r="H260" t="str">
            <v>SP SUL X</v>
          </cell>
          <cell r="I260" t="str">
            <v>P</v>
          </cell>
          <cell r="J260">
            <v>3</v>
          </cell>
          <cell r="K260" t="str">
            <v>DIURNO</v>
          </cell>
          <cell r="L260" t="str">
            <v>RAFAEL</v>
          </cell>
          <cell r="M260" t="str">
            <v>UBER</v>
          </cell>
          <cell r="N260">
            <v>0.3125</v>
          </cell>
        </row>
        <row r="261">
          <cell r="A261" t="str">
            <v/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 t="str">
            <v>Total</v>
          </cell>
          <cell r="J261">
            <v>358</v>
          </cell>
          <cell r="K261">
            <v>232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/>
          </cell>
          <cell r="B262">
            <v>0</v>
          </cell>
          <cell r="C262">
            <v>0</v>
          </cell>
          <cell r="D262">
            <v>0</v>
          </cell>
          <cell r="E262">
            <v>45148</v>
          </cell>
          <cell r="F262" t="str">
            <v>QUINTA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CFO1155</v>
          </cell>
          <cell r="B263" t="str">
            <v>CFO</v>
          </cell>
          <cell r="C263">
            <v>1155</v>
          </cell>
          <cell r="D263">
            <v>45148</v>
          </cell>
          <cell r="E263" t="str">
            <v>AV : DIÁRIO DE NOTÍCIAS , 500</v>
          </cell>
          <cell r="F263" t="str">
            <v>CRISTAL</v>
          </cell>
          <cell r="G263" t="str">
            <v>PORTO ALEGRE</v>
          </cell>
          <cell r="H263" t="str">
            <v>PORTO ALEGRE</v>
          </cell>
          <cell r="I263" t="str">
            <v>PA</v>
          </cell>
          <cell r="J263">
            <v>33</v>
          </cell>
          <cell r="K263">
            <v>0</v>
          </cell>
          <cell r="L263" t="str">
            <v>PAVAN</v>
          </cell>
          <cell r="M263" t="str">
            <v>NÃO</v>
          </cell>
          <cell r="N263" t="str">
            <v>NÃO</v>
          </cell>
        </row>
        <row r="264">
          <cell r="A264" t="str">
            <v>NAC1477</v>
          </cell>
          <cell r="B264" t="str">
            <v>NAC</v>
          </cell>
          <cell r="C264">
            <v>1477</v>
          </cell>
          <cell r="D264">
            <v>45148</v>
          </cell>
          <cell r="E264" t="str">
            <v>AV : PRAIA DE BELAS , 1181</v>
          </cell>
          <cell r="F264" t="str">
            <v>PRAIA DE BELAS SHOPPING</v>
          </cell>
          <cell r="G264" t="str">
            <v>PORTO ALEGRE</v>
          </cell>
          <cell r="H264" t="str">
            <v>PORTO ALEGRE</v>
          </cell>
          <cell r="I264" t="str">
            <v>T</v>
          </cell>
          <cell r="J264">
            <v>11</v>
          </cell>
          <cell r="K264">
            <v>0</v>
          </cell>
          <cell r="L264" t="str">
            <v>HEVERTON</v>
          </cell>
          <cell r="M264" t="str">
            <v>NÃO</v>
          </cell>
          <cell r="N264" t="str">
            <v>NÃO</v>
          </cell>
        </row>
        <row r="265">
          <cell r="A265" t="str">
            <v>CFO1078</v>
          </cell>
          <cell r="B265" t="str">
            <v>CFO</v>
          </cell>
          <cell r="C265">
            <v>1078</v>
          </cell>
          <cell r="D265">
            <v>45148</v>
          </cell>
          <cell r="E265" t="str">
            <v>AV : PARANÁ , 1250</v>
          </cell>
          <cell r="F265" t="str">
            <v>CABRAL</v>
          </cell>
          <cell r="G265" t="str">
            <v>CURITIBA</v>
          </cell>
          <cell r="H265" t="str">
            <v>PR CURITIBA</v>
          </cell>
          <cell r="I265" t="str">
            <v>PNA</v>
          </cell>
          <cell r="J265">
            <v>20</v>
          </cell>
          <cell r="K265">
            <v>0</v>
          </cell>
          <cell r="L265" t="str">
            <v>HENRIQUE</v>
          </cell>
          <cell r="M265" t="str">
            <v>NÃO</v>
          </cell>
          <cell r="N265" t="str">
            <v>NÃO</v>
          </cell>
        </row>
        <row r="266">
          <cell r="A266" t="str">
            <v>VVE36</v>
          </cell>
          <cell r="B266" t="str">
            <v>VVE</v>
          </cell>
          <cell r="C266">
            <v>36</v>
          </cell>
          <cell r="D266">
            <v>45148</v>
          </cell>
          <cell r="E266" t="str">
            <v>AV : ARTHUR THOMAS , 1110</v>
          </cell>
          <cell r="F266" t="str">
            <v>JD. BANDEIRANTES</v>
          </cell>
          <cell r="G266" t="str">
            <v>LONDRINA</v>
          </cell>
          <cell r="H266" t="str">
            <v>PR LONDRINA</v>
          </cell>
          <cell r="I266" t="str">
            <v>T</v>
          </cell>
          <cell r="J266">
            <v>6</v>
          </cell>
          <cell r="K266">
            <v>0</v>
          </cell>
          <cell r="L266" t="str">
            <v>MARIANA</v>
          </cell>
          <cell r="M266" t="str">
            <v>NÃO</v>
          </cell>
          <cell r="N266" t="str">
            <v>NÃO</v>
          </cell>
        </row>
        <row r="267">
          <cell r="A267" t="str">
            <v>DSP322</v>
          </cell>
          <cell r="B267" t="str">
            <v>DSP</v>
          </cell>
          <cell r="C267">
            <v>322</v>
          </cell>
          <cell r="D267">
            <v>45148</v>
          </cell>
          <cell r="E267" t="str">
            <v>AV : SÃO CARLOS , 2358 / 2364</v>
          </cell>
          <cell r="F267" t="str">
            <v>CENTRO - 24h</v>
          </cell>
          <cell r="G267" t="str">
            <v>SÃO CARLOS</v>
          </cell>
          <cell r="H267" t="str">
            <v>SP INT BAURU</v>
          </cell>
          <cell r="I267" t="str">
            <v>T</v>
          </cell>
          <cell r="J267">
            <v>13</v>
          </cell>
          <cell r="K267">
            <v>0</v>
          </cell>
          <cell r="L267" t="str">
            <v>VICTOR</v>
          </cell>
          <cell r="M267" t="str">
            <v>01 VAN</v>
          </cell>
          <cell r="N267">
            <v>0.72916666666666663</v>
          </cell>
        </row>
        <row r="268">
          <cell r="A268" t="str">
            <v>DSP533</v>
          </cell>
          <cell r="B268" t="str">
            <v>DSP</v>
          </cell>
          <cell r="C268">
            <v>533</v>
          </cell>
          <cell r="D268">
            <v>45148</v>
          </cell>
          <cell r="E268" t="str">
            <v>AV : BRASÍLIA , 1844</v>
          </cell>
          <cell r="F268" t="str">
            <v>JD. NOVA YORK - 24h</v>
          </cell>
          <cell r="G268" t="str">
            <v>ARAÇATUBA</v>
          </cell>
          <cell r="H268" t="str">
            <v>SP INT BAURU</v>
          </cell>
          <cell r="I268" t="str">
            <v>T</v>
          </cell>
          <cell r="J268">
            <v>12</v>
          </cell>
          <cell r="K268">
            <v>0</v>
          </cell>
          <cell r="L268" t="str">
            <v>ROSÂNGELA</v>
          </cell>
          <cell r="M268" t="str">
            <v>01 VAN</v>
          </cell>
          <cell r="N268">
            <v>0.72916666666666663</v>
          </cell>
        </row>
        <row r="269">
          <cell r="A269" t="str">
            <v>OXX1086817</v>
          </cell>
          <cell r="B269" t="str">
            <v>OXX</v>
          </cell>
          <cell r="C269">
            <v>1086817</v>
          </cell>
          <cell r="D269">
            <v>45148</v>
          </cell>
          <cell r="E269" t="str">
            <v>RUA JOSÉ ORÍDES CORDEIRO , 23</v>
          </cell>
          <cell r="F269" t="str">
            <v>JD. SANTA GENEBRA II - GERALDO</v>
          </cell>
          <cell r="G269" t="str">
            <v>CAMPINAS</v>
          </cell>
          <cell r="H269" t="str">
            <v>SP INT CPN</v>
          </cell>
          <cell r="I269" t="str">
            <v>P</v>
          </cell>
          <cell r="J269">
            <v>3</v>
          </cell>
          <cell r="K269" t="str">
            <v>DIURNO</v>
          </cell>
          <cell r="L269" t="str">
            <v>LETÍCIA/EVA</v>
          </cell>
          <cell r="M269" t="str">
            <v>NÃO</v>
          </cell>
          <cell r="N269" t="str">
            <v>NÃO</v>
          </cell>
        </row>
        <row r="270">
          <cell r="A270" t="str">
            <v>OXX1087738</v>
          </cell>
          <cell r="B270" t="str">
            <v>OXX</v>
          </cell>
          <cell r="C270">
            <v>1087738</v>
          </cell>
          <cell r="D270">
            <v>45148</v>
          </cell>
          <cell r="E270" t="str">
            <v>RUA RANGEL PESTANA , 155</v>
          </cell>
          <cell r="F270" t="str">
            <v>CENTRO - RANGEL PESTANA</v>
          </cell>
          <cell r="G270" t="str">
            <v>JUNDIAÍ</v>
          </cell>
          <cell r="H270" t="str">
            <v>SP INT CPN</v>
          </cell>
          <cell r="I270" t="str">
            <v>P</v>
          </cell>
          <cell r="J270">
            <v>3</v>
          </cell>
          <cell r="K270" t="str">
            <v>DIURNO</v>
          </cell>
          <cell r="L270" t="str">
            <v>IZABELA/THALIA</v>
          </cell>
          <cell r="M270" t="str">
            <v>UBER</v>
          </cell>
          <cell r="N270">
            <v>0.29166666666666669</v>
          </cell>
        </row>
        <row r="271">
          <cell r="A271" t="str">
            <v>OXX1095997</v>
          </cell>
          <cell r="B271" t="str">
            <v>OXX</v>
          </cell>
          <cell r="C271">
            <v>1095997</v>
          </cell>
          <cell r="D271">
            <v>45148</v>
          </cell>
          <cell r="E271" t="str">
            <v>AV : GENERAL CARNEIRO , 193</v>
          </cell>
          <cell r="F271" t="str">
            <v>VILA SÃO JORGE - BIRD</v>
          </cell>
          <cell r="G271" t="str">
            <v>CAMPINAS</v>
          </cell>
          <cell r="H271" t="str">
            <v>SP INT CPN</v>
          </cell>
          <cell r="I271" t="str">
            <v>P</v>
          </cell>
          <cell r="J271">
            <v>3</v>
          </cell>
          <cell r="K271" t="str">
            <v>DIURNO</v>
          </cell>
          <cell r="L271" t="str">
            <v>LEONARDO</v>
          </cell>
          <cell r="M271" t="str">
            <v>NÃO</v>
          </cell>
          <cell r="N271" t="str">
            <v>NÃO</v>
          </cell>
        </row>
        <row r="272">
          <cell r="A272" t="str">
            <v>DSP560</v>
          </cell>
          <cell r="B272" t="str">
            <v>DSP</v>
          </cell>
          <cell r="C272">
            <v>560</v>
          </cell>
          <cell r="D272">
            <v>45148</v>
          </cell>
          <cell r="E272" t="str">
            <v>AV : JOSÉ MARIA MARQUES DE OLIVEIRA , 538</v>
          </cell>
          <cell r="F272" t="str">
            <v>VILA NORMA</v>
          </cell>
          <cell r="G272" t="str">
            <v>SALTO</v>
          </cell>
          <cell r="H272" t="str">
            <v>SP INT LIMEIRA</v>
          </cell>
          <cell r="I272" t="str">
            <v>T</v>
          </cell>
          <cell r="J272">
            <v>13</v>
          </cell>
          <cell r="K272">
            <v>0</v>
          </cell>
          <cell r="L272" t="str">
            <v>EMERSON</v>
          </cell>
          <cell r="M272" t="str">
            <v>01 VAN</v>
          </cell>
          <cell r="N272">
            <v>0.72916666666666663</v>
          </cell>
        </row>
        <row r="273">
          <cell r="A273" t="str">
            <v>PRA23</v>
          </cell>
          <cell r="B273" t="str">
            <v>PRA</v>
          </cell>
          <cell r="C273">
            <v>23</v>
          </cell>
          <cell r="D273">
            <v>45148</v>
          </cell>
          <cell r="E273" t="str">
            <v>AV : DOS IMIGRANTES , 2222</v>
          </cell>
          <cell r="F273" t="str">
            <v>JD. AMÉRICA</v>
          </cell>
          <cell r="G273" t="str">
            <v>BRAGANÇA PAULISTA</v>
          </cell>
          <cell r="H273" t="str">
            <v>SP INT SJC</v>
          </cell>
          <cell r="I273" t="str">
            <v>T</v>
          </cell>
          <cell r="J273">
            <v>18</v>
          </cell>
          <cell r="K273">
            <v>0</v>
          </cell>
          <cell r="L273" t="str">
            <v>JAÍNE/FELIPE/BRUNA</v>
          </cell>
          <cell r="M273" t="str">
            <v>01 VAN e 01 CARRO</v>
          </cell>
          <cell r="N273">
            <v>0.6875</v>
          </cell>
        </row>
        <row r="274">
          <cell r="A274" t="str">
            <v>CDG822</v>
          </cell>
          <cell r="B274" t="str">
            <v>CDG</v>
          </cell>
          <cell r="C274">
            <v>822</v>
          </cell>
          <cell r="D274">
            <v>45148</v>
          </cell>
          <cell r="E274" t="str">
            <v>AV : AMADOR BUENO DA VEIGA , 2521</v>
          </cell>
          <cell r="F274" t="str">
            <v>PENHA DE FRANÇA</v>
          </cell>
          <cell r="G274" t="str">
            <v>SÃO PAULO</v>
          </cell>
          <cell r="H274" t="str">
            <v>SP LESTE</v>
          </cell>
          <cell r="I274" t="str">
            <v>T</v>
          </cell>
          <cell r="J274">
            <v>6</v>
          </cell>
          <cell r="K274">
            <v>0</v>
          </cell>
          <cell r="L274" t="str">
            <v>ANTÔNIO</v>
          </cell>
          <cell r="M274" t="str">
            <v>NÃO</v>
          </cell>
          <cell r="N274" t="str">
            <v>NÃO</v>
          </cell>
        </row>
        <row r="275">
          <cell r="A275" t="str">
            <v>CFO460</v>
          </cell>
          <cell r="B275" t="str">
            <v>CFO</v>
          </cell>
          <cell r="C275">
            <v>460</v>
          </cell>
          <cell r="D275">
            <v>45148</v>
          </cell>
          <cell r="E275" t="str">
            <v>AV : AMADOR BUENO DA VEIGA , 2521</v>
          </cell>
          <cell r="F275" t="str">
            <v>PENHA DE FRANÇA</v>
          </cell>
          <cell r="G275" t="str">
            <v>SÃO PAULO</v>
          </cell>
          <cell r="H275" t="str">
            <v>SP LESTE</v>
          </cell>
          <cell r="I275" t="str">
            <v>PNA</v>
          </cell>
          <cell r="J275">
            <v>20</v>
          </cell>
          <cell r="K275">
            <v>0</v>
          </cell>
          <cell r="L275" t="str">
            <v>LUANA/PATRÍCIA/LUÍS</v>
          </cell>
          <cell r="M275" t="str">
            <v>NÃO</v>
          </cell>
          <cell r="N275" t="str">
            <v>NÃO</v>
          </cell>
        </row>
        <row r="276">
          <cell r="A276" t="str">
            <v>CFX580</v>
          </cell>
          <cell r="B276" t="str">
            <v>CFX</v>
          </cell>
          <cell r="C276">
            <v>580</v>
          </cell>
          <cell r="D276">
            <v>45148</v>
          </cell>
          <cell r="E276" t="str">
            <v>RUA VOLUNTÁRIOS DA PÁTRIA , 2087</v>
          </cell>
          <cell r="F276" t="str">
            <v>SANTANA</v>
          </cell>
          <cell r="G276" t="str">
            <v>SÃO PAULO</v>
          </cell>
          <cell r="H276" t="str">
            <v>SP LESTE</v>
          </cell>
          <cell r="I276" t="str">
            <v>T</v>
          </cell>
          <cell r="J276">
            <v>6</v>
          </cell>
          <cell r="K276">
            <v>0</v>
          </cell>
          <cell r="L276" t="str">
            <v>CARINA</v>
          </cell>
          <cell r="M276" t="str">
            <v>NÃO</v>
          </cell>
          <cell r="N276" t="str">
            <v>NÃO</v>
          </cell>
        </row>
        <row r="277">
          <cell r="A277" t="str">
            <v>DSP26</v>
          </cell>
          <cell r="B277" t="str">
            <v>DSP</v>
          </cell>
          <cell r="C277">
            <v>26</v>
          </cell>
          <cell r="D277">
            <v>45148</v>
          </cell>
          <cell r="E277" t="str">
            <v>RUA PREF. AMÉRICO PERRELA , 83</v>
          </cell>
          <cell r="F277" t="str">
            <v>CENTRO</v>
          </cell>
          <cell r="G277" t="str">
            <v>MAUÁ</v>
          </cell>
          <cell r="H277" t="str">
            <v>SP LESTE</v>
          </cell>
          <cell r="I277" t="str">
            <v>T</v>
          </cell>
          <cell r="J277">
            <v>13</v>
          </cell>
          <cell r="K277">
            <v>0</v>
          </cell>
          <cell r="L277" t="str">
            <v>MARCELO</v>
          </cell>
          <cell r="M277" t="str">
            <v>NÃO</v>
          </cell>
          <cell r="N277" t="str">
            <v>NÃO</v>
          </cell>
        </row>
        <row r="278">
          <cell r="A278" t="str">
            <v>PMF990</v>
          </cell>
          <cell r="B278" t="str">
            <v>PMF</v>
          </cell>
          <cell r="C278">
            <v>990</v>
          </cell>
          <cell r="D278">
            <v>45148</v>
          </cell>
          <cell r="E278" t="str">
            <v>RUA HELENA DE SACRAMENTO , 46</v>
          </cell>
          <cell r="F278" t="str">
            <v>VILA GUACÁ - E-COMMERCE</v>
          </cell>
          <cell r="G278" t="str">
            <v>SÃO PAULO</v>
          </cell>
          <cell r="H278" t="str">
            <v>SP LESTE</v>
          </cell>
          <cell r="I278" t="str">
            <v>T</v>
          </cell>
          <cell r="J278">
            <v>12</v>
          </cell>
          <cell r="K278">
            <v>0</v>
          </cell>
          <cell r="L278" t="str">
            <v>JÉSSICA</v>
          </cell>
          <cell r="M278" t="str">
            <v>NÃO</v>
          </cell>
          <cell r="N278" t="str">
            <v>NÃO</v>
          </cell>
        </row>
        <row r="279">
          <cell r="A279" t="str">
            <v>PMO64</v>
          </cell>
          <cell r="B279" t="str">
            <v>PMO</v>
          </cell>
          <cell r="C279">
            <v>64</v>
          </cell>
          <cell r="D279">
            <v>45148</v>
          </cell>
          <cell r="E279" t="str">
            <v>ESTRADA DOS ÍNDIOS , 1132</v>
          </cell>
          <cell r="F279" t="str">
            <v>JARDIM MOSSAPYRA</v>
          </cell>
          <cell r="G279" t="str">
            <v>ITAQUAQUECETUBA</v>
          </cell>
          <cell r="H279" t="str">
            <v>SP LESTE</v>
          </cell>
          <cell r="I279" t="str">
            <v>T</v>
          </cell>
          <cell r="J279">
            <v>5</v>
          </cell>
          <cell r="K279">
            <v>0</v>
          </cell>
          <cell r="L279" t="str">
            <v>TAMIRES</v>
          </cell>
          <cell r="M279" t="str">
            <v>UBER</v>
          </cell>
          <cell r="N279">
            <v>0.79166666666666663</v>
          </cell>
        </row>
        <row r="280">
          <cell r="A280" t="str">
            <v>OXX1089326</v>
          </cell>
          <cell r="B280" t="str">
            <v>OXX</v>
          </cell>
          <cell r="C280">
            <v>1089326</v>
          </cell>
          <cell r="D280">
            <v>45148</v>
          </cell>
          <cell r="E280" t="str">
            <v>ALAMEDA BARÃO DE LIMEIRA , 899</v>
          </cell>
          <cell r="F280" t="str">
            <v>CAMPOS ELÍSEOS - BARÃO</v>
          </cell>
          <cell r="G280" t="str">
            <v>SÃO PAULO</v>
          </cell>
          <cell r="H280" t="str">
            <v>SP LESTE X</v>
          </cell>
          <cell r="I280" t="str">
            <v>P</v>
          </cell>
          <cell r="J280">
            <v>3</v>
          </cell>
          <cell r="K280" t="str">
            <v>DIURNO</v>
          </cell>
          <cell r="L280" t="str">
            <v>CÁSSIA</v>
          </cell>
          <cell r="M280" t="str">
            <v>NÃO</v>
          </cell>
          <cell r="N280" t="str">
            <v>NÃO</v>
          </cell>
        </row>
        <row r="281">
          <cell r="A281" t="str">
            <v>OXX1090069</v>
          </cell>
          <cell r="B281" t="str">
            <v>OXX</v>
          </cell>
          <cell r="C281">
            <v>1090069</v>
          </cell>
          <cell r="D281">
            <v>45148</v>
          </cell>
          <cell r="E281" t="str">
            <v>AV : PEDROSO DE MORAIS , 521</v>
          </cell>
          <cell r="F281" t="str">
            <v>PINHEIROS - CONSULADO</v>
          </cell>
          <cell r="G281" t="str">
            <v>SÃO PAULO</v>
          </cell>
          <cell r="H281" t="str">
            <v>SP LESTE X</v>
          </cell>
          <cell r="I281" t="str">
            <v>P</v>
          </cell>
          <cell r="J281">
            <v>3</v>
          </cell>
          <cell r="K281" t="str">
            <v>DIURNO</v>
          </cell>
          <cell r="L281" t="str">
            <v>JOSÉ WELVYS</v>
          </cell>
          <cell r="M281" t="str">
            <v>NÃO</v>
          </cell>
          <cell r="N281" t="str">
            <v>NÃO</v>
          </cell>
        </row>
        <row r="282">
          <cell r="A282" t="str">
            <v>OXX1090722</v>
          </cell>
          <cell r="B282" t="str">
            <v>OXX</v>
          </cell>
          <cell r="C282">
            <v>1090722</v>
          </cell>
          <cell r="D282">
            <v>45148</v>
          </cell>
          <cell r="E282" t="str">
            <v>RUA FRADIQUE COUTINHO , 455</v>
          </cell>
          <cell r="F282" t="str">
            <v>PINHEIROS - FRADIQUE</v>
          </cell>
          <cell r="G282" t="str">
            <v>SÃO PAULO</v>
          </cell>
          <cell r="H282" t="str">
            <v>SP LESTE X</v>
          </cell>
          <cell r="I282" t="str">
            <v>P</v>
          </cell>
          <cell r="J282">
            <v>3</v>
          </cell>
          <cell r="K282" t="str">
            <v>DIURNO</v>
          </cell>
          <cell r="L282" t="str">
            <v>ANDERSON</v>
          </cell>
          <cell r="M282" t="str">
            <v>NÃO</v>
          </cell>
          <cell r="N282" t="str">
            <v>NÃO</v>
          </cell>
        </row>
        <row r="283">
          <cell r="A283" t="str">
            <v>OXX1099012</v>
          </cell>
          <cell r="B283" t="str">
            <v>OXX</v>
          </cell>
          <cell r="C283">
            <v>1099012</v>
          </cell>
          <cell r="D283">
            <v>45148</v>
          </cell>
          <cell r="E283" t="str">
            <v>RUA FRANCISCO MARENGO , 1470</v>
          </cell>
          <cell r="F283" t="str">
            <v>TATUAPÉ - MIOLINHO KIDS</v>
          </cell>
          <cell r="G283" t="str">
            <v>SÃO PAULO</v>
          </cell>
          <cell r="H283" t="str">
            <v>SP LESTE X</v>
          </cell>
          <cell r="I283" t="str">
            <v>P</v>
          </cell>
          <cell r="J283">
            <v>3</v>
          </cell>
          <cell r="K283" t="str">
            <v>DIURNO</v>
          </cell>
          <cell r="L283" t="str">
            <v>ARTHUR</v>
          </cell>
          <cell r="M283" t="str">
            <v>NÃO</v>
          </cell>
          <cell r="N283" t="str">
            <v>NÃO</v>
          </cell>
        </row>
        <row r="284">
          <cell r="A284" t="str">
            <v>OXX1100371</v>
          </cell>
          <cell r="B284" t="str">
            <v>OXX</v>
          </cell>
          <cell r="C284">
            <v>1100371</v>
          </cell>
          <cell r="D284">
            <v>45148</v>
          </cell>
          <cell r="E284" t="str">
            <v>AV : ALBERTO BYINGTON , 1497</v>
          </cell>
          <cell r="F284" t="str">
            <v>VILA MARIA - GEN. MENDES</v>
          </cell>
          <cell r="G284" t="str">
            <v>SÃO PAULO</v>
          </cell>
          <cell r="H284" t="str">
            <v>SP LESTE X</v>
          </cell>
          <cell r="I284" t="str">
            <v>P</v>
          </cell>
          <cell r="J284">
            <v>3</v>
          </cell>
          <cell r="K284" t="str">
            <v>DIURNO</v>
          </cell>
          <cell r="L284" t="str">
            <v>LARISSA</v>
          </cell>
          <cell r="M284" t="str">
            <v>NÃO</v>
          </cell>
          <cell r="N284" t="str">
            <v>NÃO</v>
          </cell>
        </row>
        <row r="285">
          <cell r="A285" t="str">
            <v>OXX1100376</v>
          </cell>
          <cell r="B285" t="str">
            <v>OXX</v>
          </cell>
          <cell r="C285">
            <v>1100376</v>
          </cell>
          <cell r="D285">
            <v>45148</v>
          </cell>
          <cell r="E285" t="str">
            <v>AV : DR. TIMÓTEO PENTEADO , 3905</v>
          </cell>
          <cell r="F285" t="str">
            <v>VILA HULDA - EXATA</v>
          </cell>
          <cell r="G285" t="str">
            <v>GUARULHOS</v>
          </cell>
          <cell r="H285" t="str">
            <v>SP LESTE X</v>
          </cell>
          <cell r="I285" t="str">
            <v>P</v>
          </cell>
          <cell r="J285">
            <v>3</v>
          </cell>
          <cell r="K285" t="str">
            <v>DIURNO</v>
          </cell>
          <cell r="L285" t="str">
            <v>GAMA/JOYCE</v>
          </cell>
          <cell r="M285" t="str">
            <v>UBER</v>
          </cell>
          <cell r="N285">
            <v>0.29166666666666669</v>
          </cell>
        </row>
        <row r="286">
          <cell r="A286" t="str">
            <v>AT1CH01</v>
          </cell>
          <cell r="B286" t="str">
            <v>AT1</v>
          </cell>
          <cell r="C286" t="str">
            <v>CH01</v>
          </cell>
          <cell r="D286">
            <v>45148</v>
          </cell>
          <cell r="E286" t="str">
            <v>AV : ARUANÃ , 280 - GALPÃO 08</v>
          </cell>
          <cell r="F286" t="str">
            <v>TAMBORÉ - CHICAGO 1000</v>
          </cell>
          <cell r="G286" t="str">
            <v>BARUERI</v>
          </cell>
          <cell r="H286" t="str">
            <v>SP SUL</v>
          </cell>
          <cell r="I286" t="str">
            <v>F</v>
          </cell>
          <cell r="J286">
            <v>3</v>
          </cell>
          <cell r="K286">
            <v>0</v>
          </cell>
          <cell r="L286" t="str">
            <v>VIANA</v>
          </cell>
          <cell r="M286">
            <v>0</v>
          </cell>
          <cell r="N286">
            <v>0</v>
          </cell>
        </row>
        <row r="287">
          <cell r="A287" t="str">
            <v>AT6CH06</v>
          </cell>
          <cell r="B287" t="str">
            <v>AT6</v>
          </cell>
          <cell r="C287" t="str">
            <v>CH06</v>
          </cell>
          <cell r="D287">
            <v>45148</v>
          </cell>
          <cell r="E287" t="str">
            <v>AV : ARUANÃ , 280 - GALPÃO 08</v>
          </cell>
          <cell r="F287" t="str">
            <v>TAMBORÉ - CHICAGO 1006</v>
          </cell>
          <cell r="G287" t="str">
            <v>BARUERI</v>
          </cell>
          <cell r="H287" t="str">
            <v>SP SUL</v>
          </cell>
          <cell r="I287" t="str">
            <v>F</v>
          </cell>
          <cell r="J287">
            <v>2</v>
          </cell>
          <cell r="K287">
            <v>0</v>
          </cell>
          <cell r="L287" t="str">
            <v>VIANA</v>
          </cell>
          <cell r="M287">
            <v>0</v>
          </cell>
          <cell r="N287">
            <v>0</v>
          </cell>
        </row>
        <row r="288">
          <cell r="A288" t="str">
            <v>DSP526</v>
          </cell>
          <cell r="B288" t="str">
            <v>DSP</v>
          </cell>
          <cell r="C288">
            <v>526</v>
          </cell>
          <cell r="D288">
            <v>45148</v>
          </cell>
          <cell r="E288" t="str">
            <v>AV : DR. ARMANDO PANNUNZIO , 1200</v>
          </cell>
          <cell r="F288" t="str">
            <v>JD. VERA CRUZ - 24h</v>
          </cell>
          <cell r="G288" t="str">
            <v>SOROCABA</v>
          </cell>
          <cell r="H288" t="str">
            <v>SP SUL</v>
          </cell>
          <cell r="I288" t="str">
            <v>T</v>
          </cell>
          <cell r="J288">
            <v>17</v>
          </cell>
          <cell r="K288">
            <v>0</v>
          </cell>
          <cell r="L288" t="str">
            <v>ELAINE</v>
          </cell>
          <cell r="M288" t="str">
            <v>01 VAN de 18</v>
          </cell>
          <cell r="N288">
            <v>0.72916666666666663</v>
          </cell>
        </row>
        <row r="289">
          <cell r="A289" t="str">
            <v>DSP2391</v>
          </cell>
          <cell r="B289" t="str">
            <v>DSP</v>
          </cell>
          <cell r="C289">
            <v>2391</v>
          </cell>
          <cell r="D289">
            <v>45148</v>
          </cell>
          <cell r="E289" t="str">
            <v>ESTRADA DO M´BOI MIRIM , 450</v>
          </cell>
          <cell r="F289" t="str">
            <v>JD. DAS FLORES</v>
          </cell>
          <cell r="G289" t="str">
            <v>SÃO PAULO</v>
          </cell>
          <cell r="H289" t="str">
            <v>SP SUL</v>
          </cell>
          <cell r="I289" t="str">
            <v>T</v>
          </cell>
          <cell r="J289">
            <v>12</v>
          </cell>
          <cell r="K289">
            <v>0</v>
          </cell>
          <cell r="L289" t="str">
            <v>YGOR</v>
          </cell>
          <cell r="M289" t="str">
            <v>NÃO</v>
          </cell>
          <cell r="N289" t="str">
            <v>NÃO</v>
          </cell>
        </row>
        <row r="290">
          <cell r="A290" t="str">
            <v>PMO62</v>
          </cell>
          <cell r="B290" t="str">
            <v>PMO</v>
          </cell>
          <cell r="C290">
            <v>62</v>
          </cell>
          <cell r="D290">
            <v>45148</v>
          </cell>
          <cell r="E290" t="str">
            <v>RUA MELCHIOR GIOLA , 175</v>
          </cell>
          <cell r="F290" t="str">
            <v>PARAISÓPOLIS - MELCHIOR</v>
          </cell>
          <cell r="G290" t="str">
            <v>SÃO PAULO</v>
          </cell>
          <cell r="H290" t="str">
            <v>SP SUL</v>
          </cell>
          <cell r="I290" t="str">
            <v>T</v>
          </cell>
          <cell r="J290">
            <v>4</v>
          </cell>
          <cell r="K290">
            <v>0</v>
          </cell>
          <cell r="L290" t="str">
            <v>FERNANDO</v>
          </cell>
          <cell r="M290" t="str">
            <v>NÃO</v>
          </cell>
          <cell r="N290" t="str">
            <v>NÃO</v>
          </cell>
        </row>
        <row r="291">
          <cell r="A291" t="str">
            <v>PVI184</v>
          </cell>
          <cell r="B291" t="str">
            <v>PVI</v>
          </cell>
          <cell r="C291">
            <v>184</v>
          </cell>
          <cell r="D291">
            <v>45148</v>
          </cell>
          <cell r="E291" t="str">
            <v>AV : IGUATEMI , 777 - VILA BRANDINA</v>
          </cell>
          <cell r="F291" t="str">
            <v>SHOPPING IGUATEMI CAMPINAS</v>
          </cell>
          <cell r="G291" t="str">
            <v>CAMPINAS</v>
          </cell>
          <cell r="H291" t="str">
            <v>SP SUL</v>
          </cell>
          <cell r="I291" t="str">
            <v>T</v>
          </cell>
          <cell r="J291">
            <v>4</v>
          </cell>
          <cell r="K291">
            <v>0</v>
          </cell>
          <cell r="L291" t="str">
            <v>VIANA</v>
          </cell>
          <cell r="M291" t="str">
            <v>01 CARRO ( EDSON )</v>
          </cell>
          <cell r="N291">
            <v>0.77083333333333337</v>
          </cell>
        </row>
        <row r="292">
          <cell r="A292" t="str">
            <v>PVI944</v>
          </cell>
          <cell r="B292" t="str">
            <v>PVI</v>
          </cell>
          <cell r="C292">
            <v>944</v>
          </cell>
          <cell r="D292">
            <v>45148</v>
          </cell>
          <cell r="E292" t="str">
            <v>AV : ALBERT EINSTEIN , 627 - JD. LEONOR</v>
          </cell>
          <cell r="F292" t="str">
            <v>MATERNIDADE ALBERT EINSTEIN</v>
          </cell>
          <cell r="G292" t="str">
            <v>SÃO PAULO</v>
          </cell>
          <cell r="H292" t="str">
            <v>SP SUL</v>
          </cell>
          <cell r="I292" t="str">
            <v>F</v>
          </cell>
          <cell r="J292">
            <v>2</v>
          </cell>
          <cell r="K292">
            <v>0</v>
          </cell>
          <cell r="L292" t="str">
            <v>JUSCELINO</v>
          </cell>
          <cell r="M292">
            <v>0</v>
          </cell>
          <cell r="N292">
            <v>0</v>
          </cell>
        </row>
        <row r="293">
          <cell r="A293" t="str">
            <v>STMS106</v>
          </cell>
          <cell r="B293" t="str">
            <v>STM</v>
          </cell>
          <cell r="C293" t="str">
            <v>S106</v>
          </cell>
          <cell r="D293">
            <v>45148</v>
          </cell>
          <cell r="E293" t="str">
            <v>AV : SÃO GABRIEL , 558 / 600</v>
          </cell>
          <cell r="F293" t="str">
            <v>ITAM BIBI</v>
          </cell>
          <cell r="G293" t="str">
            <v>SÃO PAULO</v>
          </cell>
          <cell r="H293" t="str">
            <v>SP SUL</v>
          </cell>
          <cell r="I293" t="str">
            <v>T</v>
          </cell>
          <cell r="J293">
            <v>40</v>
          </cell>
          <cell r="K293">
            <v>0</v>
          </cell>
          <cell r="L293" t="str">
            <v>RUAN</v>
          </cell>
          <cell r="M293" t="str">
            <v>NÃO</v>
          </cell>
          <cell r="N293" t="str">
            <v>NÃO</v>
          </cell>
        </row>
        <row r="294">
          <cell r="A294" t="str">
            <v>OXX1090039</v>
          </cell>
          <cell r="B294" t="str">
            <v>OXX</v>
          </cell>
          <cell r="C294">
            <v>1090039</v>
          </cell>
          <cell r="D294">
            <v>45148</v>
          </cell>
          <cell r="E294" t="str">
            <v>RUA CRISTIANO VIANA , 592</v>
          </cell>
          <cell r="F294" t="str">
            <v>PINHEIROS - REFERÊNCIA</v>
          </cell>
          <cell r="G294" t="str">
            <v>SÃO PAULO</v>
          </cell>
          <cell r="H294" t="str">
            <v>SP SUL X</v>
          </cell>
          <cell r="I294" t="str">
            <v>P</v>
          </cell>
          <cell r="J294">
            <v>3</v>
          </cell>
          <cell r="K294" t="str">
            <v>DIURNO</v>
          </cell>
          <cell r="L294" t="str">
            <v>RAYANE</v>
          </cell>
          <cell r="M294" t="str">
            <v>NÃO</v>
          </cell>
          <cell r="N294" t="str">
            <v>NÃO</v>
          </cell>
        </row>
        <row r="295">
          <cell r="A295" t="str">
            <v>OXX1094423</v>
          </cell>
          <cell r="B295" t="str">
            <v>OXX</v>
          </cell>
          <cell r="C295">
            <v>1094423</v>
          </cell>
          <cell r="D295">
            <v>45148</v>
          </cell>
          <cell r="E295" t="str">
            <v>RUA ARIZONA , 1319</v>
          </cell>
          <cell r="F295" t="str">
            <v>CIDADE MONÇÕES - ARIZONA</v>
          </cell>
          <cell r="G295" t="str">
            <v>SÃO PAULO</v>
          </cell>
          <cell r="H295" t="str">
            <v>SP SUL X</v>
          </cell>
          <cell r="I295" t="str">
            <v>P</v>
          </cell>
          <cell r="J295">
            <v>3</v>
          </cell>
          <cell r="K295" t="str">
            <v>DIURNO</v>
          </cell>
          <cell r="L295" t="str">
            <v>JÉSSICA</v>
          </cell>
          <cell r="M295" t="str">
            <v>NÃO</v>
          </cell>
          <cell r="N295" t="str">
            <v>NÃO</v>
          </cell>
        </row>
        <row r="296">
          <cell r="A296" t="str">
            <v>OXX1095780</v>
          </cell>
          <cell r="B296" t="str">
            <v>OXX</v>
          </cell>
          <cell r="C296">
            <v>1095780</v>
          </cell>
          <cell r="D296">
            <v>45148</v>
          </cell>
          <cell r="E296" t="str">
            <v>RUA NOSSA SENHORA DA LAPA , 223</v>
          </cell>
          <cell r="F296" t="str">
            <v>LAPA - PRAÇA DA LAPA</v>
          </cell>
          <cell r="G296" t="str">
            <v>SÃO PAULO</v>
          </cell>
          <cell r="H296" t="str">
            <v>SP SUL X</v>
          </cell>
          <cell r="I296" t="str">
            <v>P</v>
          </cell>
          <cell r="J296">
            <v>3</v>
          </cell>
          <cell r="K296" t="str">
            <v>DIURNO</v>
          </cell>
          <cell r="L296" t="str">
            <v>FLAVIA</v>
          </cell>
          <cell r="M296" t="str">
            <v>NÃO</v>
          </cell>
          <cell r="N296" t="str">
            <v>NÃO</v>
          </cell>
        </row>
        <row r="297">
          <cell r="A297" t="str">
            <v>OXX1098955</v>
          </cell>
          <cell r="B297" t="str">
            <v>OXX</v>
          </cell>
          <cell r="C297">
            <v>1098955</v>
          </cell>
          <cell r="D297">
            <v>45148</v>
          </cell>
          <cell r="E297" t="str">
            <v>AV : DR. CARDOSO DE MELO , 1138</v>
          </cell>
          <cell r="F297" t="str">
            <v>VILA OLÍMPIA - CARDOSO</v>
          </cell>
          <cell r="G297" t="str">
            <v>SÃO PAULO</v>
          </cell>
          <cell r="H297" t="str">
            <v>SP SUL X</v>
          </cell>
          <cell r="I297" t="str">
            <v>P</v>
          </cell>
          <cell r="J297">
            <v>3</v>
          </cell>
          <cell r="K297" t="str">
            <v>DIURNO</v>
          </cell>
          <cell r="L297" t="str">
            <v>NATHALIA</v>
          </cell>
          <cell r="M297" t="str">
            <v>NÃO</v>
          </cell>
          <cell r="N297" t="str">
            <v>NÃO</v>
          </cell>
        </row>
        <row r="298">
          <cell r="A298" t="str">
            <v>OXX1099200</v>
          </cell>
          <cell r="B298" t="str">
            <v>OXX</v>
          </cell>
          <cell r="C298">
            <v>1099200</v>
          </cell>
          <cell r="D298">
            <v>45148</v>
          </cell>
          <cell r="E298" t="str">
            <v>AV : ALFREDO EGÍDIO DE SOUZA ARANHA , 91</v>
          </cell>
          <cell r="F298" t="str">
            <v>VILA CRUZEIRO - EGÍDIO</v>
          </cell>
          <cell r="G298" t="str">
            <v>SÃO PAULO</v>
          </cell>
          <cell r="H298" t="str">
            <v>SP SUL X</v>
          </cell>
          <cell r="I298" t="str">
            <v>P</v>
          </cell>
          <cell r="J298">
            <v>3</v>
          </cell>
          <cell r="K298" t="str">
            <v>DIURNO</v>
          </cell>
          <cell r="L298" t="str">
            <v>ANDRÉ</v>
          </cell>
          <cell r="M298" t="str">
            <v>NÃO</v>
          </cell>
          <cell r="N298" t="str">
            <v>NÃO</v>
          </cell>
        </row>
        <row r="299">
          <cell r="A299" t="str">
            <v>SHX1090046</v>
          </cell>
          <cell r="B299" t="str">
            <v>SHX</v>
          </cell>
          <cell r="C299">
            <v>1090046</v>
          </cell>
          <cell r="D299">
            <v>45148</v>
          </cell>
          <cell r="E299" t="str">
            <v>AV : ATLÂNTICA , 4695</v>
          </cell>
          <cell r="F299" t="str">
            <v>SOCORRO - AZZOLINI</v>
          </cell>
          <cell r="G299" t="str">
            <v>SÃO PAULO</v>
          </cell>
          <cell r="H299" t="str">
            <v>SP SUL X</v>
          </cell>
          <cell r="I299" t="str">
            <v>P</v>
          </cell>
          <cell r="J299">
            <v>2</v>
          </cell>
          <cell r="K299" t="str">
            <v>DIURNO</v>
          </cell>
          <cell r="L299" t="str">
            <v>CLAUDIA</v>
          </cell>
          <cell r="M299" t="str">
            <v>NÃO</v>
          </cell>
          <cell r="N299" t="str">
            <v>NÃO</v>
          </cell>
        </row>
        <row r="300">
          <cell r="A300" t="str">
            <v/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 t="str">
            <v>Total</v>
          </cell>
          <cell r="J300">
            <v>316</v>
          </cell>
          <cell r="K300">
            <v>274</v>
          </cell>
          <cell r="L300">
            <v>0</v>
          </cell>
          <cell r="M300">
            <v>0</v>
          </cell>
          <cell r="N300">
            <v>0</v>
          </cell>
        </row>
        <row r="301">
          <cell r="A301" t="str">
            <v/>
          </cell>
          <cell r="B301">
            <v>0</v>
          </cell>
          <cell r="C301">
            <v>0</v>
          </cell>
          <cell r="D301">
            <v>0</v>
          </cell>
          <cell r="E301">
            <v>45149</v>
          </cell>
          <cell r="F301" t="str">
            <v>SEXTA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2">
          <cell r="A302" t="str">
            <v>HORF020</v>
          </cell>
          <cell r="B302" t="str">
            <v>HOR</v>
          </cell>
          <cell r="C302" t="str">
            <v>F020</v>
          </cell>
          <cell r="D302">
            <v>45149</v>
          </cell>
          <cell r="E302" t="str">
            <v xml:space="preserve">AV : RAYMUNDO MAGALHÃES JÚNIOR , 50 </v>
          </cell>
          <cell r="F302" t="str">
            <v>BARRA DA TIJUCA - AMÉRICAS</v>
          </cell>
          <cell r="G302" t="str">
            <v>RIO DE JANEIRO</v>
          </cell>
          <cell r="H302" t="str">
            <v>RJ</v>
          </cell>
          <cell r="I302" t="str">
            <v>T</v>
          </cell>
          <cell r="J302">
            <v>20</v>
          </cell>
          <cell r="K302">
            <v>0</v>
          </cell>
          <cell r="L302" t="str">
            <v>ANTÔNIO</v>
          </cell>
          <cell r="M302" t="str">
            <v>NÃO</v>
          </cell>
          <cell r="N302" t="str">
            <v>NÃO</v>
          </cell>
        </row>
        <row r="303">
          <cell r="A303" t="str">
            <v>HORF049</v>
          </cell>
          <cell r="B303" t="str">
            <v>HOR</v>
          </cell>
          <cell r="C303" t="str">
            <v>F049</v>
          </cell>
          <cell r="D303">
            <v>45149</v>
          </cell>
          <cell r="E303" t="str">
            <v>RUA HUMAITÁ , 150</v>
          </cell>
          <cell r="F303" t="str">
            <v>HUMAITÁ - LEVE</v>
          </cell>
          <cell r="G303" t="str">
            <v>RIO DE JANEIRO</v>
          </cell>
          <cell r="H303" t="str">
            <v>RJ</v>
          </cell>
          <cell r="I303" t="str">
            <v>T</v>
          </cell>
          <cell r="J303">
            <v>7</v>
          </cell>
          <cell r="K303">
            <v>0</v>
          </cell>
          <cell r="L303" t="str">
            <v>MICHELE</v>
          </cell>
          <cell r="M303" t="str">
            <v>NÃO</v>
          </cell>
          <cell r="N303" t="str">
            <v>NÃO</v>
          </cell>
        </row>
        <row r="304">
          <cell r="A304" t="str">
            <v>OXX1094367</v>
          </cell>
          <cell r="B304" t="str">
            <v>OXX</v>
          </cell>
          <cell r="C304">
            <v>1094367</v>
          </cell>
          <cell r="D304">
            <v>45149</v>
          </cell>
          <cell r="E304" t="str">
            <v>RUA SIRACUSA , 73</v>
          </cell>
          <cell r="F304" t="str">
            <v>JD. MESSINA</v>
          </cell>
          <cell r="G304" t="str">
            <v>JUNDIAÍ</v>
          </cell>
          <cell r="H304" t="str">
            <v>SP INT CPN</v>
          </cell>
          <cell r="I304" t="str">
            <v>P</v>
          </cell>
          <cell r="J304">
            <v>3</v>
          </cell>
          <cell r="K304" t="str">
            <v>DIURNO</v>
          </cell>
          <cell r="L304" t="str">
            <v>IZABELA/THALIA</v>
          </cell>
          <cell r="M304" t="str">
            <v>UBER</v>
          </cell>
          <cell r="N304">
            <v>0.29166666666666669</v>
          </cell>
        </row>
        <row r="305">
          <cell r="A305" t="str">
            <v>SHX1086060</v>
          </cell>
          <cell r="B305" t="str">
            <v>SHX</v>
          </cell>
          <cell r="C305">
            <v>1086060</v>
          </cell>
          <cell r="D305">
            <v>45149</v>
          </cell>
          <cell r="E305" t="str">
            <v>RUA BENEDITO STORANI , 855</v>
          </cell>
          <cell r="F305" t="str">
            <v>PQ. RES. ELOY CHAVES</v>
          </cell>
          <cell r="G305" t="str">
            <v>JUNDIAÍ</v>
          </cell>
          <cell r="H305" t="str">
            <v>SP INT CPN</v>
          </cell>
          <cell r="I305" t="str">
            <v>P</v>
          </cell>
          <cell r="J305">
            <v>2</v>
          </cell>
          <cell r="K305" t="str">
            <v>DIURNO</v>
          </cell>
          <cell r="L305" t="str">
            <v>LETÍCIA/EVA</v>
          </cell>
          <cell r="M305" t="str">
            <v>UBER</v>
          </cell>
          <cell r="N305">
            <v>0.29166666666666669</v>
          </cell>
        </row>
        <row r="306">
          <cell r="A306" t="str">
            <v>SHX1092582</v>
          </cell>
          <cell r="B306" t="str">
            <v>SHX</v>
          </cell>
          <cell r="C306">
            <v>1092582</v>
          </cell>
          <cell r="D306">
            <v>45149</v>
          </cell>
          <cell r="E306" t="str">
            <v>RUA OURO , 382 - LOJA A</v>
          </cell>
          <cell r="F306" t="str">
            <v>RECREIO CAMPESTRE - OURO</v>
          </cell>
          <cell r="G306" t="str">
            <v>INDAIATUBA</v>
          </cell>
          <cell r="H306" t="str">
            <v>SP INT CPN</v>
          </cell>
          <cell r="I306" t="str">
            <v>P</v>
          </cell>
          <cell r="J306">
            <v>2</v>
          </cell>
          <cell r="K306" t="str">
            <v>DIURNO</v>
          </cell>
          <cell r="L306" t="str">
            <v>LEONARDO</v>
          </cell>
          <cell r="M306" t="str">
            <v>UBER</v>
          </cell>
          <cell r="N306">
            <v>0.29166666666666669</v>
          </cell>
        </row>
        <row r="307">
          <cell r="A307" t="str">
            <v>DSP2373</v>
          </cell>
          <cell r="B307" t="str">
            <v>DSP</v>
          </cell>
          <cell r="C307">
            <v>2373</v>
          </cell>
          <cell r="D307">
            <v>45149</v>
          </cell>
          <cell r="E307" t="str">
            <v>RUA COMENDADOR GUIMARÃES , 575</v>
          </cell>
          <cell r="F307" t="str">
            <v>CENTRO</v>
          </cell>
          <cell r="G307" t="str">
            <v>AMPARO</v>
          </cell>
          <cell r="H307" t="str">
            <v>SP INT LIMEIRA</v>
          </cell>
          <cell r="I307" t="str">
            <v>T</v>
          </cell>
          <cell r="J307">
            <v>11</v>
          </cell>
          <cell r="K307">
            <v>0</v>
          </cell>
          <cell r="L307" t="str">
            <v>EMERSON</v>
          </cell>
          <cell r="M307" t="str">
            <v>01 VAN</v>
          </cell>
          <cell r="N307">
            <v>0.75</v>
          </cell>
        </row>
        <row r="308">
          <cell r="A308" t="str">
            <v>MPA2798</v>
          </cell>
          <cell r="B308" t="str">
            <v>MPA</v>
          </cell>
          <cell r="C308">
            <v>2798</v>
          </cell>
          <cell r="D308">
            <v>45149</v>
          </cell>
          <cell r="E308" t="str">
            <v>RUA CAPITÃO PINTO FERREIRA , 225</v>
          </cell>
          <cell r="F308" t="str">
            <v>JD. PAULISTA - PRÉDIO MATRIZ</v>
          </cell>
          <cell r="G308" t="str">
            <v>SÃO PAULO</v>
          </cell>
          <cell r="H308" t="str">
            <v>SP LESTE</v>
          </cell>
          <cell r="I308" t="str">
            <v>F</v>
          </cell>
          <cell r="J308">
            <v>11</v>
          </cell>
          <cell r="K308">
            <v>0</v>
          </cell>
          <cell r="L308" t="str">
            <v>LUANA/LUÍS</v>
          </cell>
          <cell r="M308">
            <v>0</v>
          </cell>
          <cell r="N308">
            <v>0</v>
          </cell>
        </row>
        <row r="309">
          <cell r="A309" t="str">
            <v>OXX1095574</v>
          </cell>
          <cell r="B309" t="str">
            <v>OXX</v>
          </cell>
          <cell r="C309">
            <v>1095574</v>
          </cell>
          <cell r="D309">
            <v>45149</v>
          </cell>
          <cell r="E309" t="str">
            <v>AV : PORTUGAL , 1259</v>
          </cell>
          <cell r="F309" t="str">
            <v>CENTRO - DUPLO</v>
          </cell>
          <cell r="G309" t="str">
            <v>SANTO ANDRÉ</v>
          </cell>
          <cell r="H309" t="str">
            <v>SP LESTE X</v>
          </cell>
          <cell r="I309" t="str">
            <v>P</v>
          </cell>
          <cell r="J309">
            <v>3</v>
          </cell>
          <cell r="K309" t="str">
            <v>DIURNO</v>
          </cell>
          <cell r="L309" t="str">
            <v>CÁSSIA</v>
          </cell>
          <cell r="M309" t="str">
            <v>UBER</v>
          </cell>
          <cell r="N309">
            <v>0.3125</v>
          </cell>
        </row>
        <row r="310">
          <cell r="A310" t="str">
            <v>OXX1099216</v>
          </cell>
          <cell r="B310" t="str">
            <v>OXX</v>
          </cell>
          <cell r="C310">
            <v>1099216</v>
          </cell>
          <cell r="D310">
            <v>45149</v>
          </cell>
          <cell r="E310" t="str">
            <v xml:space="preserve">RUA PADRE ESTEVÃO PERNET , 145 </v>
          </cell>
          <cell r="F310" t="str">
            <v>TATUAPÉ - AZULÃO</v>
          </cell>
          <cell r="G310" t="str">
            <v>SÃO PAULO</v>
          </cell>
          <cell r="H310" t="str">
            <v>SP LESTE X</v>
          </cell>
          <cell r="I310" t="str">
            <v>P</v>
          </cell>
          <cell r="J310">
            <v>3</v>
          </cell>
          <cell r="K310" t="str">
            <v>DIURNO</v>
          </cell>
          <cell r="L310" t="str">
            <v>JOSÉ WELVYS/LARISSA</v>
          </cell>
          <cell r="M310" t="str">
            <v>NÃO</v>
          </cell>
          <cell r="N310" t="str">
            <v>NÃO</v>
          </cell>
        </row>
        <row r="311">
          <cell r="A311" t="str">
            <v>OXX1100137</v>
          </cell>
          <cell r="B311" t="str">
            <v>OXX</v>
          </cell>
          <cell r="C311">
            <v>1100137</v>
          </cell>
          <cell r="D311">
            <v>45149</v>
          </cell>
          <cell r="E311" t="str">
            <v>AV : SAPOPEMBA , 6175</v>
          </cell>
          <cell r="F311" t="str">
            <v>SAPOPEMBA - COLORADO</v>
          </cell>
          <cell r="G311" t="str">
            <v>SÃO PAULO</v>
          </cell>
          <cell r="H311" t="str">
            <v>SP LESTE X</v>
          </cell>
          <cell r="I311" t="str">
            <v>P</v>
          </cell>
          <cell r="J311">
            <v>3</v>
          </cell>
          <cell r="K311" t="str">
            <v>DIURNO</v>
          </cell>
          <cell r="L311" t="str">
            <v>GAMA/JOYCE</v>
          </cell>
          <cell r="M311" t="str">
            <v>NÃO</v>
          </cell>
          <cell r="N311" t="str">
            <v>NÃO</v>
          </cell>
        </row>
        <row r="312">
          <cell r="A312" t="str">
            <v>OXX1100254</v>
          </cell>
          <cell r="B312" t="str">
            <v>OXX</v>
          </cell>
          <cell r="C312">
            <v>1100254</v>
          </cell>
          <cell r="D312">
            <v>45149</v>
          </cell>
          <cell r="E312" t="str">
            <v>AV : DO ORATÓRIO , 2801</v>
          </cell>
          <cell r="F312" t="str">
            <v>PQ. SÃO LUCAS</v>
          </cell>
          <cell r="G312" t="str">
            <v>SÃO PAULO</v>
          </cell>
          <cell r="H312" t="str">
            <v>SP LESTE X</v>
          </cell>
          <cell r="I312" t="str">
            <v>P</v>
          </cell>
          <cell r="J312">
            <v>3</v>
          </cell>
          <cell r="K312" t="str">
            <v>DIURNO</v>
          </cell>
          <cell r="L312" t="str">
            <v>ARTHUR</v>
          </cell>
          <cell r="M312" t="str">
            <v>NÃO</v>
          </cell>
          <cell r="N312" t="str">
            <v>NÃO</v>
          </cell>
        </row>
        <row r="313">
          <cell r="A313" t="str">
            <v>SHX1087725</v>
          </cell>
          <cell r="B313" t="str">
            <v>SHX</v>
          </cell>
          <cell r="C313">
            <v>1087725</v>
          </cell>
          <cell r="D313">
            <v>45149</v>
          </cell>
          <cell r="E313" t="str">
            <v>AV : DOS ESTADOS , 6973</v>
          </cell>
          <cell r="F313" t="str">
            <v>TAMANDUATEÍ - ESTÔNIA 2</v>
          </cell>
          <cell r="G313" t="str">
            <v>SANTO ANDRÉ</v>
          </cell>
          <cell r="H313" t="str">
            <v>SP LESTE X</v>
          </cell>
          <cell r="I313" t="str">
            <v>P</v>
          </cell>
          <cell r="J313">
            <v>2</v>
          </cell>
          <cell r="K313" t="str">
            <v>DIURNO</v>
          </cell>
          <cell r="L313" t="str">
            <v>ANDERSON</v>
          </cell>
          <cell r="M313" t="str">
            <v>UBER</v>
          </cell>
          <cell r="N313">
            <v>0.3125</v>
          </cell>
        </row>
        <row r="314">
          <cell r="A314" t="str">
            <v>AT1CH01</v>
          </cell>
          <cell r="B314" t="str">
            <v>AT1</v>
          </cell>
          <cell r="C314" t="str">
            <v>CH01</v>
          </cell>
          <cell r="D314">
            <v>45149</v>
          </cell>
          <cell r="E314" t="str">
            <v>AV : ARUANÃ , 280 - GALPÃO 08</v>
          </cell>
          <cell r="F314" t="str">
            <v>TAMBORÉ - CHICAGO 1000</v>
          </cell>
          <cell r="G314" t="str">
            <v>BARUERI</v>
          </cell>
          <cell r="H314" t="str">
            <v>SP SUL</v>
          </cell>
          <cell r="I314" t="str">
            <v>T</v>
          </cell>
          <cell r="J314">
            <v>3</v>
          </cell>
          <cell r="K314" t="str">
            <v>DIURNO</v>
          </cell>
          <cell r="L314" t="str">
            <v>VIANA</v>
          </cell>
          <cell r="M314" t="str">
            <v>01 CARRO ( EDSON )</v>
          </cell>
          <cell r="N314">
            <v>0.25</v>
          </cell>
        </row>
        <row r="315">
          <cell r="A315" t="str">
            <v>AT6CH06</v>
          </cell>
          <cell r="B315" t="str">
            <v>AT6</v>
          </cell>
          <cell r="C315" t="str">
            <v>CH06</v>
          </cell>
          <cell r="D315">
            <v>45149</v>
          </cell>
          <cell r="E315" t="str">
            <v>AV : ARUANÃ , 280 - GALPÃO 08</v>
          </cell>
          <cell r="F315" t="str">
            <v>TAMBORÉ - CHICAGO 1006</v>
          </cell>
          <cell r="G315" t="str">
            <v>BARUERI</v>
          </cell>
          <cell r="H315" t="str">
            <v>SP SUL</v>
          </cell>
          <cell r="I315" t="str">
            <v>T</v>
          </cell>
          <cell r="J315">
            <v>2</v>
          </cell>
          <cell r="K315" t="str">
            <v>DIURNO</v>
          </cell>
          <cell r="L315" t="str">
            <v>VIANA</v>
          </cell>
          <cell r="M315">
            <v>0</v>
          </cell>
          <cell r="N315">
            <v>0.25</v>
          </cell>
        </row>
        <row r="316">
          <cell r="A316" t="str">
            <v>DSP892</v>
          </cell>
          <cell r="B316" t="str">
            <v>DSP</v>
          </cell>
          <cell r="C316">
            <v>892</v>
          </cell>
          <cell r="D316">
            <v>45149</v>
          </cell>
          <cell r="E316" t="str">
            <v>AV : LAURO DE CARVALHO , 873</v>
          </cell>
          <cell r="F316" t="str">
            <v>CENTRO</v>
          </cell>
          <cell r="G316" t="str">
            <v>JAGUARIÚNA</v>
          </cell>
          <cell r="H316" t="str">
            <v>SP SUL</v>
          </cell>
          <cell r="I316" t="str">
            <v>T</v>
          </cell>
          <cell r="J316">
            <v>10</v>
          </cell>
          <cell r="K316">
            <v>0</v>
          </cell>
          <cell r="L316" t="str">
            <v>ELAINE/DEBORA</v>
          </cell>
          <cell r="M316" t="str">
            <v>01 VAN</v>
          </cell>
          <cell r="N316">
            <v>0.70833333333333337</v>
          </cell>
        </row>
        <row r="317">
          <cell r="A317" t="str">
            <v>PVI944</v>
          </cell>
          <cell r="B317" t="str">
            <v>PVI</v>
          </cell>
          <cell r="C317">
            <v>944</v>
          </cell>
          <cell r="D317">
            <v>45149</v>
          </cell>
          <cell r="E317" t="str">
            <v>AV : ALBERT EINSTEIN , 627 - JD. LEONOR</v>
          </cell>
          <cell r="F317" t="str">
            <v>MATERNIDADE ALBERT EINSTEIN</v>
          </cell>
          <cell r="G317" t="str">
            <v>SÃO PAULO</v>
          </cell>
          <cell r="H317" t="str">
            <v>SP SUL</v>
          </cell>
          <cell r="I317" t="str">
            <v>T</v>
          </cell>
          <cell r="J317">
            <v>2</v>
          </cell>
          <cell r="K317" t="str">
            <v>DIURNO</v>
          </cell>
          <cell r="L317" t="str">
            <v>JUSCELINO</v>
          </cell>
          <cell r="M317" t="str">
            <v>NÃO</v>
          </cell>
          <cell r="N317" t="str">
            <v>NÃO</v>
          </cell>
        </row>
        <row r="318">
          <cell r="A318" t="str">
            <v>OXX1094138</v>
          </cell>
          <cell r="B318" t="str">
            <v>OXX</v>
          </cell>
          <cell r="C318">
            <v>1094138</v>
          </cell>
          <cell r="D318">
            <v>45149</v>
          </cell>
          <cell r="E318" t="str">
            <v>AV : CONS. RODRIGUES ALVES , 336</v>
          </cell>
          <cell r="F318" t="str">
            <v>VILA MARIANA - RODRIGUES</v>
          </cell>
          <cell r="G318" t="str">
            <v>SÃO PAULO</v>
          </cell>
          <cell r="H318" t="str">
            <v>SP SUL X</v>
          </cell>
          <cell r="I318" t="str">
            <v>P</v>
          </cell>
          <cell r="J318">
            <v>3</v>
          </cell>
          <cell r="K318" t="str">
            <v>DIURNO</v>
          </cell>
          <cell r="L318" t="str">
            <v>FLAVIA</v>
          </cell>
          <cell r="M318" t="str">
            <v>NÃO</v>
          </cell>
          <cell r="N318" t="str">
            <v>NÃO</v>
          </cell>
        </row>
        <row r="319">
          <cell r="A319" t="str">
            <v>OXX1095393</v>
          </cell>
          <cell r="B319" t="str">
            <v>OXX</v>
          </cell>
          <cell r="C319">
            <v>1095393</v>
          </cell>
          <cell r="D319">
            <v>45149</v>
          </cell>
          <cell r="E319" t="str">
            <v>RUA DARWIN , 12</v>
          </cell>
          <cell r="F319" t="str">
            <v>SANTO AMARO - DARWIN</v>
          </cell>
          <cell r="G319" t="str">
            <v>SÃO PAULO</v>
          </cell>
          <cell r="H319" t="str">
            <v>SP SUL X</v>
          </cell>
          <cell r="I319" t="str">
            <v>P</v>
          </cell>
          <cell r="J319">
            <v>3</v>
          </cell>
          <cell r="K319" t="str">
            <v>DIURNO</v>
          </cell>
          <cell r="L319" t="str">
            <v>ANDRÉ</v>
          </cell>
          <cell r="M319" t="str">
            <v>NÃO</v>
          </cell>
          <cell r="N319" t="str">
            <v>NÃO</v>
          </cell>
        </row>
        <row r="320">
          <cell r="A320" t="str">
            <v>OXX1095912</v>
          </cell>
          <cell r="B320" t="str">
            <v>OXX</v>
          </cell>
          <cell r="C320">
            <v>1095912</v>
          </cell>
          <cell r="D320">
            <v>45149</v>
          </cell>
          <cell r="E320" t="str">
            <v>AV : JABAQUARA , 1465</v>
          </cell>
          <cell r="F320" t="str">
            <v>MIRANDÓPOLIS - CÔPINHO</v>
          </cell>
          <cell r="G320" t="str">
            <v>SÃO PAULO</v>
          </cell>
          <cell r="H320" t="str">
            <v>SP SUL X</v>
          </cell>
          <cell r="I320" t="str">
            <v>P</v>
          </cell>
          <cell r="J320">
            <v>3</v>
          </cell>
          <cell r="K320" t="str">
            <v>DIURNO</v>
          </cell>
          <cell r="L320" t="str">
            <v>JÉSSICA</v>
          </cell>
          <cell r="M320" t="str">
            <v>NÃO</v>
          </cell>
          <cell r="N320" t="str">
            <v>NÃO</v>
          </cell>
        </row>
        <row r="321">
          <cell r="A321" t="str">
            <v>OXX1100328</v>
          </cell>
          <cell r="B321" t="str">
            <v>OXX</v>
          </cell>
          <cell r="C321">
            <v>1100328</v>
          </cell>
          <cell r="D321">
            <v>45149</v>
          </cell>
          <cell r="E321" t="str">
            <v>RUA CEL. FERNANDO PRESTES , 703</v>
          </cell>
          <cell r="F321" t="str">
            <v>CENTRO - PRESTES</v>
          </cell>
          <cell r="G321" t="str">
            <v>SANTO ANDRÉ</v>
          </cell>
          <cell r="H321" t="str">
            <v>SP SUL X</v>
          </cell>
          <cell r="I321" t="str">
            <v>P</v>
          </cell>
          <cell r="J321">
            <v>3</v>
          </cell>
          <cell r="K321" t="str">
            <v>DIURNO</v>
          </cell>
          <cell r="L321" t="str">
            <v>RAYANE</v>
          </cell>
          <cell r="M321" t="str">
            <v>UBER</v>
          </cell>
          <cell r="N321">
            <v>0.3125</v>
          </cell>
        </row>
        <row r="322">
          <cell r="A322" t="str">
            <v>SHX1087455</v>
          </cell>
          <cell r="B322" t="str">
            <v>SHX</v>
          </cell>
          <cell r="C322">
            <v>1087455</v>
          </cell>
          <cell r="D322">
            <v>45149</v>
          </cell>
          <cell r="E322" t="str">
            <v>RUA SANTA FILOMENA , 751</v>
          </cell>
          <cell r="F322" t="str">
            <v>CENTRO - ESTÔNIA 3</v>
          </cell>
          <cell r="G322" t="str">
            <v>SÃO BERNARDO DO CAMPO</v>
          </cell>
          <cell r="H322" t="str">
            <v>SP SUL X</v>
          </cell>
          <cell r="I322" t="str">
            <v>P</v>
          </cell>
          <cell r="J322">
            <v>2</v>
          </cell>
          <cell r="K322" t="str">
            <v>DIURNO</v>
          </cell>
          <cell r="L322" t="str">
            <v>NATHALIA</v>
          </cell>
          <cell r="M322" t="str">
            <v>UBER</v>
          </cell>
          <cell r="N322">
            <v>0.3125</v>
          </cell>
        </row>
        <row r="323">
          <cell r="A323" t="str">
            <v/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 t="str">
            <v>Total</v>
          </cell>
          <cell r="J323">
            <v>101</v>
          </cell>
          <cell r="K323">
            <v>489</v>
          </cell>
          <cell r="L323">
            <v>0</v>
          </cell>
          <cell r="M323">
            <v>0</v>
          </cell>
          <cell r="N323">
            <v>0</v>
          </cell>
        </row>
        <row r="324">
          <cell r="A324" t="str">
            <v/>
          </cell>
          <cell r="B324">
            <v>0</v>
          </cell>
          <cell r="C324">
            <v>0</v>
          </cell>
          <cell r="D324">
            <v>0</v>
          </cell>
          <cell r="E324">
            <v>45150</v>
          </cell>
          <cell r="F324" t="str">
            <v>SÁBADO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</row>
        <row r="325">
          <cell r="A325" t="str">
            <v>ASI266</v>
          </cell>
          <cell r="B325" t="str">
            <v>ASI</v>
          </cell>
          <cell r="C325">
            <v>266</v>
          </cell>
          <cell r="D325">
            <v>45150</v>
          </cell>
          <cell r="E325" t="str">
            <v>AV : PRESIDENTE KENNEDY , 429</v>
          </cell>
          <cell r="F325" t="str">
            <v>CENTRO</v>
          </cell>
          <cell r="G325" t="str">
            <v>SÃO GONÇALO</v>
          </cell>
          <cell r="H325" t="str">
            <v>RJ</v>
          </cell>
          <cell r="I325" t="str">
            <v>CA</v>
          </cell>
          <cell r="J325">
            <v>25</v>
          </cell>
          <cell r="K325">
            <v>0</v>
          </cell>
          <cell r="L325" t="str">
            <v>RAFAEL/ANTÔNIO</v>
          </cell>
          <cell r="M325" t="str">
            <v>02 VANS</v>
          </cell>
          <cell r="N325">
            <v>0.66666666666666663</v>
          </cell>
        </row>
        <row r="326">
          <cell r="A326" t="str">
            <v>STY2</v>
          </cell>
          <cell r="B326" t="str">
            <v>STY</v>
          </cell>
          <cell r="C326">
            <v>2</v>
          </cell>
          <cell r="D326">
            <v>45150</v>
          </cell>
          <cell r="E326" t="str">
            <v>AV : MANOEL FERRAZ DE CAMPOS SALLES , 542</v>
          </cell>
          <cell r="F326" t="str">
            <v>CENTRO - SUP. PORTUGUÊS</v>
          </cell>
          <cell r="G326" t="str">
            <v>SANTA ISABEL</v>
          </cell>
          <cell r="H326" t="str">
            <v>SP INT SJC</v>
          </cell>
          <cell r="I326" t="str">
            <v>P</v>
          </cell>
          <cell r="J326">
            <v>25</v>
          </cell>
          <cell r="K326" t="str">
            <v>APOIO LESTE</v>
          </cell>
          <cell r="L326" t="str">
            <v>JAÍNE/FELIPE/BRUNA</v>
          </cell>
          <cell r="M326" t="str">
            <v>01 VAN</v>
          </cell>
          <cell r="N326">
            <v>0.77083333333333337</v>
          </cell>
        </row>
        <row r="327">
          <cell r="A327" t="str">
            <v>MPA2798</v>
          </cell>
          <cell r="B327" t="str">
            <v>MPA</v>
          </cell>
          <cell r="C327">
            <v>2798</v>
          </cell>
          <cell r="D327">
            <v>45150</v>
          </cell>
          <cell r="E327" t="str">
            <v>RUA CAPITÃO PINTO FERREIRA , 225</v>
          </cell>
          <cell r="F327" t="str">
            <v>JD. PAULISTA - PRÉDIO MATRIZ</v>
          </cell>
          <cell r="G327" t="str">
            <v>SÃO PAULO</v>
          </cell>
          <cell r="H327" t="str">
            <v>SP LESTE</v>
          </cell>
          <cell r="I327" t="str">
            <v>T</v>
          </cell>
          <cell r="J327">
            <v>11</v>
          </cell>
          <cell r="K327" t="str">
            <v>DIURNO</v>
          </cell>
          <cell r="L327" t="str">
            <v>LUANA/LUÍS</v>
          </cell>
          <cell r="M327" t="str">
            <v>NÃO</v>
          </cell>
          <cell r="N327" t="str">
            <v>NÃO</v>
          </cell>
        </row>
        <row r="328">
          <cell r="A328" t="str">
            <v>STY2</v>
          </cell>
          <cell r="B328" t="str">
            <v>STY</v>
          </cell>
          <cell r="C328">
            <v>2</v>
          </cell>
          <cell r="D328">
            <v>45150</v>
          </cell>
          <cell r="E328" t="str">
            <v>AV : MANOEL FERRAZ DE CAMPOS SALLES , 542</v>
          </cell>
          <cell r="F328" t="str">
            <v>CENTRO - SUP. PORTUGUÊS</v>
          </cell>
          <cell r="G328" t="str">
            <v>SANTA ISABEL</v>
          </cell>
          <cell r="H328" t="str">
            <v>SP LESTE</v>
          </cell>
          <cell r="I328" t="str">
            <v>APOIO</v>
          </cell>
          <cell r="J328">
            <v>15</v>
          </cell>
          <cell r="K328">
            <v>0</v>
          </cell>
          <cell r="L328" t="str">
            <v>PATRÍCIA</v>
          </cell>
          <cell r="M328" t="str">
            <v>01 VAN</v>
          </cell>
          <cell r="N328">
            <v>0.77083333333333337</v>
          </cell>
        </row>
        <row r="329">
          <cell r="A329" t="str">
            <v>ASI8</v>
          </cell>
          <cell r="B329" t="str">
            <v>ASI</v>
          </cell>
          <cell r="C329">
            <v>8</v>
          </cell>
          <cell r="D329">
            <v>45150</v>
          </cell>
          <cell r="E329" t="str">
            <v>AV : PROF. FRANCISCO MORATO , 4367</v>
          </cell>
          <cell r="F329" t="str">
            <v>VILA SÔNIA</v>
          </cell>
          <cell r="G329" t="str">
            <v>SÃO PAULO</v>
          </cell>
          <cell r="H329" t="str">
            <v>SP SUL</v>
          </cell>
          <cell r="I329" t="str">
            <v>CA</v>
          </cell>
          <cell r="J329">
            <v>25</v>
          </cell>
          <cell r="K329">
            <v>0</v>
          </cell>
          <cell r="L329" t="str">
            <v>VIANA/JUSCELINO</v>
          </cell>
          <cell r="M329" t="str">
            <v>NÃO</v>
          </cell>
          <cell r="N329" t="str">
            <v>NÃO</v>
          </cell>
        </row>
        <row r="330">
          <cell r="A330" t="str">
            <v>MPA1423</v>
          </cell>
          <cell r="B330" t="str">
            <v>MPA</v>
          </cell>
          <cell r="C330">
            <v>1423</v>
          </cell>
          <cell r="D330">
            <v>45150</v>
          </cell>
          <cell r="E330" t="str">
            <v>RUA DR. TOMÁS ALVES , 51</v>
          </cell>
          <cell r="F330" t="str">
            <v>VILA MARIANA - TOMÁS</v>
          </cell>
          <cell r="G330" t="str">
            <v>SÃO PAULO</v>
          </cell>
          <cell r="H330" t="str">
            <v>SP SUL</v>
          </cell>
          <cell r="I330" t="str">
            <v>T</v>
          </cell>
          <cell r="J330">
            <v>13</v>
          </cell>
          <cell r="K330">
            <v>0</v>
          </cell>
          <cell r="L330" t="str">
            <v>ELAINE</v>
          </cell>
          <cell r="M330" t="str">
            <v>NÃO</v>
          </cell>
          <cell r="N330" t="str">
            <v>NÃO</v>
          </cell>
        </row>
        <row r="331">
          <cell r="A331" t="str">
            <v/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 t="str">
            <v>Total</v>
          </cell>
          <cell r="J331">
            <v>114</v>
          </cell>
          <cell r="K331">
            <v>476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/>
          </cell>
          <cell r="B332">
            <v>0</v>
          </cell>
          <cell r="C332">
            <v>0</v>
          </cell>
          <cell r="D332">
            <v>0</v>
          </cell>
          <cell r="E332">
            <v>45151</v>
          </cell>
          <cell r="F332" t="str">
            <v>DOMINGO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ASI266</v>
          </cell>
          <cell r="B333" t="str">
            <v>ASI</v>
          </cell>
          <cell r="C333">
            <v>266</v>
          </cell>
          <cell r="D333">
            <v>45151</v>
          </cell>
          <cell r="E333" t="str">
            <v>AV : PRESIDENTE KENNEDY , 429</v>
          </cell>
          <cell r="F333" t="str">
            <v>CENTRO</v>
          </cell>
          <cell r="G333" t="str">
            <v>SÃO GONÇALO</v>
          </cell>
          <cell r="H333" t="str">
            <v>RJ</v>
          </cell>
          <cell r="I333" t="str">
            <v>CP</v>
          </cell>
          <cell r="J333">
            <v>1</v>
          </cell>
          <cell r="K333" t="str">
            <v>DIURNO</v>
          </cell>
          <cell r="L333" t="str">
            <v>SHIRLEY</v>
          </cell>
          <cell r="M333" t="str">
            <v>UBER</v>
          </cell>
          <cell r="N333">
            <v>0.25</v>
          </cell>
        </row>
        <row r="334">
          <cell r="A334" t="str">
            <v>ASI266</v>
          </cell>
          <cell r="B334" t="str">
            <v>ASI</v>
          </cell>
          <cell r="C334">
            <v>266</v>
          </cell>
          <cell r="D334">
            <v>45151</v>
          </cell>
          <cell r="E334" t="str">
            <v>AV : PRESIDENTE KENNEDY , 429</v>
          </cell>
          <cell r="F334" t="str">
            <v>CENTRO</v>
          </cell>
          <cell r="G334" t="str">
            <v>SÃO GONÇALO</v>
          </cell>
          <cell r="H334" t="str">
            <v>RJ</v>
          </cell>
          <cell r="I334" t="str">
            <v>T</v>
          </cell>
          <cell r="J334">
            <v>44</v>
          </cell>
          <cell r="K334">
            <v>0</v>
          </cell>
          <cell r="L334" t="str">
            <v>RAFAEL/ANTÔNIO</v>
          </cell>
          <cell r="M334" t="str">
            <v>03 VANS</v>
          </cell>
          <cell r="N334">
            <v>0.66666666666666663</v>
          </cell>
        </row>
        <row r="335">
          <cell r="A335" t="str">
            <v>ASI8</v>
          </cell>
          <cell r="B335" t="str">
            <v>ASI</v>
          </cell>
          <cell r="C335">
            <v>8</v>
          </cell>
          <cell r="D335">
            <v>45151</v>
          </cell>
          <cell r="E335" t="str">
            <v>AV : PROF. FRANCISCO MORATO , 4367</v>
          </cell>
          <cell r="F335" t="str">
            <v>VILA SÔNIA</v>
          </cell>
          <cell r="G335" t="str">
            <v>SÃO PAULO</v>
          </cell>
          <cell r="H335" t="str">
            <v>SP SUL</v>
          </cell>
          <cell r="I335" t="str">
            <v>CP</v>
          </cell>
          <cell r="J335">
            <v>1</v>
          </cell>
          <cell r="K335" t="str">
            <v>DIURNO</v>
          </cell>
          <cell r="L335" t="str">
            <v>ANDRÉ</v>
          </cell>
          <cell r="M335" t="str">
            <v>NÃO</v>
          </cell>
          <cell r="N335" t="str">
            <v>NÃO</v>
          </cell>
        </row>
        <row r="336">
          <cell r="A336" t="str">
            <v>ASI8</v>
          </cell>
          <cell r="B336" t="str">
            <v>ASI</v>
          </cell>
          <cell r="C336">
            <v>8</v>
          </cell>
          <cell r="D336">
            <v>45151</v>
          </cell>
          <cell r="E336" t="str">
            <v>AV : PROF. FRANCISCO MORATO , 4367</v>
          </cell>
          <cell r="F336" t="str">
            <v>VILA SÔNIA</v>
          </cell>
          <cell r="G336" t="str">
            <v>SÃO PAULO</v>
          </cell>
          <cell r="H336" t="str">
            <v>SP SUL</v>
          </cell>
          <cell r="I336" t="str">
            <v>T</v>
          </cell>
          <cell r="J336">
            <v>34</v>
          </cell>
          <cell r="K336">
            <v>0</v>
          </cell>
          <cell r="L336" t="str">
            <v>VIANA/JUSCELINO</v>
          </cell>
          <cell r="M336" t="str">
            <v>NÃO</v>
          </cell>
          <cell r="N336" t="str">
            <v>NÃO</v>
          </cell>
        </row>
        <row r="337">
          <cell r="A337" t="str">
            <v/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 t="str">
            <v>Total</v>
          </cell>
          <cell r="J337">
            <v>80</v>
          </cell>
          <cell r="K337">
            <v>510</v>
          </cell>
          <cell r="L337">
            <v>0</v>
          </cell>
          <cell r="M337">
            <v>0</v>
          </cell>
          <cell r="N337">
            <v>0</v>
          </cell>
        </row>
        <row r="338">
          <cell r="A338" t="str">
            <v/>
          </cell>
          <cell r="B338">
            <v>0</v>
          </cell>
          <cell r="C338">
            <v>0</v>
          </cell>
          <cell r="D338">
            <v>0</v>
          </cell>
          <cell r="E338">
            <v>45152</v>
          </cell>
          <cell r="F338" t="str">
            <v>SEGUNDA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</row>
        <row r="339">
          <cell r="A339" t="str">
            <v>FSJ348</v>
          </cell>
          <cell r="B339" t="str">
            <v>FSJ</v>
          </cell>
          <cell r="C339">
            <v>348</v>
          </cell>
          <cell r="D339">
            <v>45152</v>
          </cell>
          <cell r="E339" t="str">
            <v>RUA PROF. FRANCISCO BROCHADO DA ROCHA , 356</v>
          </cell>
          <cell r="F339" t="str">
            <v>CENTRO - SAP 02</v>
          </cell>
          <cell r="G339" t="str">
            <v>SAPUCAIA DO SUL</v>
          </cell>
          <cell r="H339" t="str">
            <v>PORTO ALEGRE</v>
          </cell>
          <cell r="I339" t="str">
            <v>T</v>
          </cell>
          <cell r="J339">
            <v>10</v>
          </cell>
          <cell r="K339">
            <v>0</v>
          </cell>
          <cell r="L339" t="str">
            <v>PATRINE</v>
          </cell>
          <cell r="M339" t="str">
            <v>NÃO</v>
          </cell>
          <cell r="N339" t="str">
            <v>NÃO</v>
          </cell>
        </row>
        <row r="340">
          <cell r="A340" t="str">
            <v>SAM4947</v>
          </cell>
          <cell r="B340" t="str">
            <v>SAM</v>
          </cell>
          <cell r="C340">
            <v>4947</v>
          </cell>
          <cell r="D340">
            <v>45152</v>
          </cell>
          <cell r="E340" t="str">
            <v>AV : SERTÓRIO , 6600 - ANEXO A</v>
          </cell>
          <cell r="F340" t="str">
            <v>SARANDI - NORTE</v>
          </cell>
          <cell r="G340" t="str">
            <v>PORTO ALEGRE</v>
          </cell>
          <cell r="H340" t="str">
            <v>PORTO ALEGRE</v>
          </cell>
          <cell r="I340" t="str">
            <v>CA</v>
          </cell>
          <cell r="J340">
            <v>15</v>
          </cell>
          <cell r="K340">
            <v>0</v>
          </cell>
          <cell r="L340" t="str">
            <v>PAVAN</v>
          </cell>
          <cell r="M340" t="str">
            <v>NÃO</v>
          </cell>
          <cell r="N340" t="str">
            <v>NÃO</v>
          </cell>
        </row>
        <row r="341">
          <cell r="A341" t="str">
            <v>TDI1327</v>
          </cell>
          <cell r="B341" t="str">
            <v>TDI</v>
          </cell>
          <cell r="C341">
            <v>1327</v>
          </cell>
          <cell r="D341">
            <v>45152</v>
          </cell>
          <cell r="E341" t="str">
            <v>RUA ULISSES FARIA , 720</v>
          </cell>
          <cell r="F341" t="str">
            <v>CENTRO</v>
          </cell>
          <cell r="G341" t="str">
            <v>SÃO MATEUS DO SUL</v>
          </cell>
          <cell r="H341" t="str">
            <v>PR CURITIBA</v>
          </cell>
          <cell r="I341" t="str">
            <v>T</v>
          </cell>
          <cell r="J341">
            <v>6</v>
          </cell>
          <cell r="K341">
            <v>0</v>
          </cell>
          <cell r="L341" t="str">
            <v>HENRIQUE</v>
          </cell>
          <cell r="M341" t="str">
            <v>01 VAN</v>
          </cell>
          <cell r="N341">
            <v>0.66666666666666663</v>
          </cell>
        </row>
        <row r="342">
          <cell r="A342" t="str">
            <v>GUY5</v>
          </cell>
          <cell r="B342" t="str">
            <v>GUY</v>
          </cell>
          <cell r="C342">
            <v>5</v>
          </cell>
          <cell r="D342">
            <v>45152</v>
          </cell>
          <cell r="E342" t="str">
            <v>AV : ANTÔNIO ORMENEZE , 70</v>
          </cell>
          <cell r="F342" t="str">
            <v>CHÁCARAS URBANAS ( GUGÃO )</v>
          </cell>
          <cell r="G342" t="str">
            <v>NOVA LONDRINA</v>
          </cell>
          <cell r="H342" t="str">
            <v>PR LONDRINA</v>
          </cell>
          <cell r="I342" t="str">
            <v>T</v>
          </cell>
          <cell r="J342">
            <v>33</v>
          </cell>
          <cell r="K342">
            <v>0</v>
          </cell>
          <cell r="L342" t="str">
            <v>MARIANA/ALINE</v>
          </cell>
          <cell r="M342" t="str">
            <v>02 VANS e 01 CARRO</v>
          </cell>
          <cell r="N342">
            <v>0.625</v>
          </cell>
        </row>
        <row r="343">
          <cell r="A343" t="str">
            <v>ASI266</v>
          </cell>
          <cell r="B343" t="str">
            <v>ASI</v>
          </cell>
          <cell r="C343">
            <v>266</v>
          </cell>
          <cell r="D343">
            <v>45152</v>
          </cell>
          <cell r="E343" t="str">
            <v>AV : PRESIDENTE KENNEDY , 429</v>
          </cell>
          <cell r="F343" t="str">
            <v>CENTRO</v>
          </cell>
          <cell r="G343" t="str">
            <v>SÃO GONÇALO</v>
          </cell>
          <cell r="H343" t="str">
            <v>RJ</v>
          </cell>
          <cell r="I343" t="str">
            <v>D</v>
          </cell>
          <cell r="J343">
            <v>3</v>
          </cell>
          <cell r="K343">
            <v>0</v>
          </cell>
          <cell r="L343" t="str">
            <v>KLEBER</v>
          </cell>
          <cell r="M343" t="str">
            <v>UBER</v>
          </cell>
          <cell r="N343">
            <v>0.79166666666666663</v>
          </cell>
        </row>
        <row r="344">
          <cell r="A344" t="str">
            <v>PRX9</v>
          </cell>
          <cell r="B344" t="str">
            <v>PRX</v>
          </cell>
          <cell r="C344">
            <v>9</v>
          </cell>
          <cell r="D344">
            <v>45152</v>
          </cell>
          <cell r="E344" t="str">
            <v>RUA LUCÍDIO LAGO , 292</v>
          </cell>
          <cell r="F344" t="str">
            <v>MÉIER</v>
          </cell>
          <cell r="G344" t="str">
            <v>RIO DE JANEIRO</v>
          </cell>
          <cell r="H344" t="str">
            <v>RJ</v>
          </cell>
          <cell r="I344" t="str">
            <v>T</v>
          </cell>
          <cell r="J344">
            <v>20</v>
          </cell>
          <cell r="K344">
            <v>0</v>
          </cell>
          <cell r="L344" t="str">
            <v>RAFAEL</v>
          </cell>
          <cell r="M344" t="str">
            <v>NÃO</v>
          </cell>
          <cell r="N344" t="str">
            <v>NÃO</v>
          </cell>
        </row>
        <row r="345">
          <cell r="A345" t="str">
            <v>JAU34</v>
          </cell>
          <cell r="B345" t="str">
            <v>JAU</v>
          </cell>
          <cell r="C345">
            <v>34</v>
          </cell>
          <cell r="D345">
            <v>45152</v>
          </cell>
          <cell r="E345" t="str">
            <v>AV : LARANJAL PAULISTA , 1120</v>
          </cell>
          <cell r="F345" t="str">
            <v>ÁGUA DAS PEDRAS</v>
          </cell>
          <cell r="G345" t="str">
            <v>PIRACICABA</v>
          </cell>
          <cell r="H345" t="str">
            <v>SP INT BAURU</v>
          </cell>
          <cell r="I345" t="str">
            <v>APOIO</v>
          </cell>
          <cell r="J345">
            <v>20</v>
          </cell>
          <cell r="K345">
            <v>0</v>
          </cell>
          <cell r="L345" t="str">
            <v>ROSÂNGELA</v>
          </cell>
          <cell r="M345" t="str">
            <v>01 VAN e 01 CARRO</v>
          </cell>
          <cell r="N345">
            <v>0.625</v>
          </cell>
        </row>
        <row r="346">
          <cell r="A346" t="str">
            <v>OXX1086169</v>
          </cell>
          <cell r="B346" t="str">
            <v>OXX</v>
          </cell>
          <cell r="C346">
            <v>1086169</v>
          </cell>
          <cell r="D346">
            <v>45152</v>
          </cell>
          <cell r="E346" t="str">
            <v>RUA TIRADENTES , 375</v>
          </cell>
          <cell r="F346" t="str">
            <v>VILA ITAPURA - TIRADENTES</v>
          </cell>
          <cell r="G346" t="str">
            <v>CAMPINAS</v>
          </cell>
          <cell r="H346" t="str">
            <v>SP INT CPN</v>
          </cell>
          <cell r="I346" t="str">
            <v>P</v>
          </cell>
          <cell r="J346">
            <v>3</v>
          </cell>
          <cell r="K346" t="str">
            <v>DIURNO</v>
          </cell>
          <cell r="L346" t="str">
            <v>THALIA</v>
          </cell>
          <cell r="M346" t="str">
            <v>NÃO</v>
          </cell>
          <cell r="N346" t="str">
            <v>NÃO</v>
          </cell>
        </row>
        <row r="347">
          <cell r="A347" t="str">
            <v>OXX1087625</v>
          </cell>
          <cell r="B347" t="str">
            <v>OXX</v>
          </cell>
          <cell r="C347">
            <v>1087625</v>
          </cell>
          <cell r="D347">
            <v>45152</v>
          </cell>
          <cell r="E347" t="str">
            <v>AV : DA SAUDADE , 736</v>
          </cell>
          <cell r="F347" t="str">
            <v>PONTE PRETA - ÂNGELO SIMÕES</v>
          </cell>
          <cell r="G347" t="str">
            <v>CAMPINAS</v>
          </cell>
          <cell r="H347" t="str">
            <v>SP INT CPN</v>
          </cell>
          <cell r="I347" t="str">
            <v>P</v>
          </cell>
          <cell r="J347">
            <v>3</v>
          </cell>
          <cell r="K347" t="str">
            <v>DIURNO</v>
          </cell>
          <cell r="L347" t="str">
            <v>LETÍCIA/EVA</v>
          </cell>
          <cell r="M347" t="str">
            <v>NÃO</v>
          </cell>
          <cell r="N347" t="str">
            <v>NÃO</v>
          </cell>
        </row>
        <row r="348">
          <cell r="A348" t="str">
            <v>OXX1094005</v>
          </cell>
          <cell r="B348" t="str">
            <v>OXX</v>
          </cell>
          <cell r="C348">
            <v>1094005</v>
          </cell>
          <cell r="D348">
            <v>45152</v>
          </cell>
          <cell r="E348" t="str">
            <v>RUA DR. FRANCISCO ARRUDA ROSO , 396</v>
          </cell>
          <cell r="F348" t="str">
            <v>VILA TEIXEIRA - FRANCISCO</v>
          </cell>
          <cell r="G348" t="str">
            <v>CAMPINAS</v>
          </cell>
          <cell r="H348" t="str">
            <v>SP INT CPN</v>
          </cell>
          <cell r="I348" t="str">
            <v>P</v>
          </cell>
          <cell r="J348">
            <v>3</v>
          </cell>
          <cell r="K348" t="str">
            <v>DIURNO</v>
          </cell>
          <cell r="L348" t="str">
            <v>LEONARDO</v>
          </cell>
          <cell r="M348" t="str">
            <v>NÃO</v>
          </cell>
          <cell r="N348" t="str">
            <v>NÃO</v>
          </cell>
        </row>
        <row r="349">
          <cell r="A349" t="str">
            <v>JAU34</v>
          </cell>
          <cell r="B349" t="str">
            <v>JAU</v>
          </cell>
          <cell r="C349">
            <v>34</v>
          </cell>
          <cell r="D349">
            <v>45152</v>
          </cell>
          <cell r="E349" t="str">
            <v>AV : LARANJAL PAULISTA , 1120</v>
          </cell>
          <cell r="F349" t="str">
            <v>ÁGUA DAS PEDRAS</v>
          </cell>
          <cell r="G349" t="str">
            <v>PIRACICABA</v>
          </cell>
          <cell r="H349" t="str">
            <v>SP INT LIMEIRA</v>
          </cell>
          <cell r="I349" t="str">
            <v>T</v>
          </cell>
          <cell r="J349">
            <v>15</v>
          </cell>
          <cell r="K349" t="str">
            <v>APOIO BAURU</v>
          </cell>
          <cell r="L349" t="str">
            <v>GUSTAVO</v>
          </cell>
          <cell r="M349" t="str">
            <v>01 VAN</v>
          </cell>
          <cell r="N349">
            <v>0.6875</v>
          </cell>
        </row>
        <row r="350">
          <cell r="A350" t="str">
            <v>PRA32</v>
          </cell>
          <cell r="B350" t="str">
            <v>PRA</v>
          </cell>
          <cell r="C350">
            <v>32</v>
          </cell>
          <cell r="D350">
            <v>45152</v>
          </cell>
          <cell r="E350" t="str">
            <v>RUA DANTE GRIMELLO , 73</v>
          </cell>
          <cell r="F350" t="str">
            <v>SANTA LUZIA</v>
          </cell>
          <cell r="G350" t="str">
            <v>BRAGANÇA PAULISTA</v>
          </cell>
          <cell r="H350" t="str">
            <v>SP INT SJC</v>
          </cell>
          <cell r="I350" t="str">
            <v>T</v>
          </cell>
          <cell r="J350">
            <v>18</v>
          </cell>
          <cell r="K350">
            <v>0</v>
          </cell>
          <cell r="L350" t="str">
            <v>JAÍNE/FELIPE/BRUNA</v>
          </cell>
          <cell r="M350" t="str">
            <v>01 VAN e 01 CARRO</v>
          </cell>
          <cell r="N350">
            <v>0.6875</v>
          </cell>
        </row>
        <row r="351">
          <cell r="A351" t="str">
            <v>DSP537</v>
          </cell>
          <cell r="B351" t="str">
            <v>DSP</v>
          </cell>
          <cell r="C351">
            <v>537</v>
          </cell>
          <cell r="D351">
            <v>45152</v>
          </cell>
          <cell r="E351" t="str">
            <v>AV : CANGAÍBA , 2316</v>
          </cell>
          <cell r="F351" t="str">
            <v>CANGAÍBA - 24h</v>
          </cell>
          <cell r="G351" t="str">
            <v>SÃO PAULO</v>
          </cell>
          <cell r="H351" t="str">
            <v>SP LESTE</v>
          </cell>
          <cell r="I351" t="str">
            <v>T</v>
          </cell>
          <cell r="J351">
            <v>14</v>
          </cell>
          <cell r="K351">
            <v>0</v>
          </cell>
          <cell r="L351" t="str">
            <v>JÉSSICA</v>
          </cell>
          <cell r="M351" t="str">
            <v>NÃO</v>
          </cell>
          <cell r="N351" t="str">
            <v>NÃO</v>
          </cell>
        </row>
        <row r="352">
          <cell r="A352" t="str">
            <v>DSP2014</v>
          </cell>
          <cell r="B352" t="str">
            <v>DSP</v>
          </cell>
          <cell r="C352">
            <v>2014</v>
          </cell>
          <cell r="D352">
            <v>45152</v>
          </cell>
          <cell r="E352" t="str">
            <v>RUA ANDRÉ ZANCOPE , 3540</v>
          </cell>
          <cell r="F352" t="str">
            <v>PONTE DE CAMPINAS</v>
          </cell>
          <cell r="G352" t="str">
            <v>JUNDIAÍ</v>
          </cell>
          <cell r="H352" t="str">
            <v>SP LESTE</v>
          </cell>
          <cell r="I352" t="str">
            <v>T</v>
          </cell>
          <cell r="J352">
            <v>12</v>
          </cell>
          <cell r="K352">
            <v>0</v>
          </cell>
          <cell r="L352" t="str">
            <v>MARCELO</v>
          </cell>
          <cell r="M352" t="str">
            <v>01 VAN</v>
          </cell>
          <cell r="N352">
            <v>0.72916666666666663</v>
          </cell>
        </row>
        <row r="353">
          <cell r="A353" t="str">
            <v>EXS697</v>
          </cell>
          <cell r="B353" t="str">
            <v>EXS</v>
          </cell>
          <cell r="C353">
            <v>697</v>
          </cell>
          <cell r="D353">
            <v>45152</v>
          </cell>
          <cell r="E353" t="str">
            <v xml:space="preserve">RUA TUPY , 633                    </v>
          </cell>
          <cell r="F353" t="str">
            <v>VILA TUPY</v>
          </cell>
          <cell r="G353" t="str">
            <v>PRAIA GRANDE</v>
          </cell>
          <cell r="H353" t="str">
            <v>SP LESTE</v>
          </cell>
          <cell r="I353" t="str">
            <v>T</v>
          </cell>
          <cell r="J353">
            <v>28</v>
          </cell>
          <cell r="K353">
            <v>0</v>
          </cell>
          <cell r="L353" t="str">
            <v>LUANA/KAIQUE</v>
          </cell>
          <cell r="M353" t="str">
            <v>02 VANS</v>
          </cell>
          <cell r="N353">
            <v>0.66666666666666663</v>
          </cell>
        </row>
        <row r="354">
          <cell r="A354" t="str">
            <v>EXS1753</v>
          </cell>
          <cell r="B354" t="str">
            <v>EXS</v>
          </cell>
          <cell r="C354">
            <v>1753</v>
          </cell>
          <cell r="D354">
            <v>45152</v>
          </cell>
          <cell r="E354" t="str">
            <v xml:space="preserve">AV : GUILHERMINA GUINLE , 146  </v>
          </cell>
          <cell r="F354" t="str">
            <v>CENTRO</v>
          </cell>
          <cell r="G354" t="str">
            <v>PRAIA GRANDE</v>
          </cell>
          <cell r="H354" t="str">
            <v>SP LESTE</v>
          </cell>
          <cell r="I354" t="str">
            <v>T</v>
          </cell>
          <cell r="J354">
            <v>28</v>
          </cell>
          <cell r="K354">
            <v>0</v>
          </cell>
          <cell r="L354" t="str">
            <v>PATRÍCIA</v>
          </cell>
          <cell r="M354" t="str">
            <v>02 VANS</v>
          </cell>
          <cell r="N354">
            <v>0.66666666666666663</v>
          </cell>
        </row>
        <row r="355">
          <cell r="A355" t="str">
            <v>HNTN009</v>
          </cell>
          <cell r="B355" t="str">
            <v>HNT</v>
          </cell>
          <cell r="C355" t="str">
            <v>N009</v>
          </cell>
          <cell r="D355">
            <v>45152</v>
          </cell>
          <cell r="E355" t="str">
            <v>AV : DR. EPITÁCIO PESSOA , 215</v>
          </cell>
          <cell r="F355" t="str">
            <v>BOQUEIRÃO</v>
          </cell>
          <cell r="G355" t="str">
            <v>SANTOS</v>
          </cell>
          <cell r="H355" t="str">
            <v>SP LESTE</v>
          </cell>
          <cell r="I355" t="str">
            <v>T</v>
          </cell>
          <cell r="J355">
            <v>15</v>
          </cell>
          <cell r="K355">
            <v>0</v>
          </cell>
          <cell r="L355" t="str">
            <v>LUÍS/ANTÔNIO</v>
          </cell>
          <cell r="M355" t="str">
            <v>01 VAN</v>
          </cell>
          <cell r="N355">
            <v>0.66666666666666663</v>
          </cell>
        </row>
        <row r="356">
          <cell r="A356" t="str">
            <v>PMO29</v>
          </cell>
          <cell r="B356" t="str">
            <v>PMO</v>
          </cell>
          <cell r="C356">
            <v>29</v>
          </cell>
          <cell r="D356">
            <v>45152</v>
          </cell>
          <cell r="E356" t="str">
            <v>RUA VOLUNTÁRIOS DA PÁTRIA , 4575</v>
          </cell>
          <cell r="F356" t="str">
            <v>MANDAQUI</v>
          </cell>
          <cell r="G356" t="str">
            <v>SÃO PAULO</v>
          </cell>
          <cell r="H356" t="str">
            <v>SP LESTE</v>
          </cell>
          <cell r="I356" t="str">
            <v>T</v>
          </cell>
          <cell r="J356">
            <v>5</v>
          </cell>
          <cell r="K356">
            <v>0</v>
          </cell>
          <cell r="L356" t="str">
            <v>TAMIRES</v>
          </cell>
          <cell r="M356" t="str">
            <v>NÃO</v>
          </cell>
          <cell r="N356" t="str">
            <v>NÃO</v>
          </cell>
        </row>
        <row r="357">
          <cell r="A357" t="str">
            <v>OXX1090059</v>
          </cell>
          <cell r="B357" t="str">
            <v>OXX</v>
          </cell>
          <cell r="C357">
            <v>1090059</v>
          </cell>
          <cell r="D357">
            <v>45152</v>
          </cell>
          <cell r="E357" t="str">
            <v>RUA DOMINGOS DE MORAIS , 2732</v>
          </cell>
          <cell r="F357" t="str">
            <v>SHOPPING SANTA CRUZ</v>
          </cell>
          <cell r="G357" t="str">
            <v>SÃO PAULO</v>
          </cell>
          <cell r="H357" t="str">
            <v>SP LESTE X</v>
          </cell>
          <cell r="I357" t="str">
            <v>P</v>
          </cell>
          <cell r="J357">
            <v>3</v>
          </cell>
          <cell r="K357" t="str">
            <v>DIURNO</v>
          </cell>
          <cell r="L357" t="str">
            <v>GAMA/JOYCE</v>
          </cell>
          <cell r="M357" t="str">
            <v>NÃO</v>
          </cell>
          <cell r="N357" t="str">
            <v>NÃO</v>
          </cell>
        </row>
        <row r="358">
          <cell r="A358" t="str">
            <v>OXX1093520</v>
          </cell>
          <cell r="B358" t="str">
            <v>OXX</v>
          </cell>
          <cell r="C358">
            <v>1093520</v>
          </cell>
          <cell r="D358">
            <v>45152</v>
          </cell>
          <cell r="E358" t="str">
            <v>RUA ANTÔNIO AGÚ , 161</v>
          </cell>
          <cell r="F358" t="str">
            <v>CENTRO - PÇA. DUQUE DE CAXIAS</v>
          </cell>
          <cell r="G358" t="str">
            <v>OSASCO</v>
          </cell>
          <cell r="H358" t="str">
            <v>SP LESTE X</v>
          </cell>
          <cell r="I358" t="str">
            <v>P</v>
          </cell>
          <cell r="J358">
            <v>3</v>
          </cell>
          <cell r="K358" t="str">
            <v>DIURNO</v>
          </cell>
          <cell r="L358" t="str">
            <v>LARISSA</v>
          </cell>
          <cell r="M358" t="str">
            <v>NÃO</v>
          </cell>
          <cell r="N358" t="str">
            <v>NÃO</v>
          </cell>
        </row>
        <row r="359">
          <cell r="A359" t="str">
            <v>OXX1094874</v>
          </cell>
          <cell r="B359" t="str">
            <v>OXX</v>
          </cell>
          <cell r="C359">
            <v>1094874</v>
          </cell>
          <cell r="D359">
            <v>45152</v>
          </cell>
          <cell r="E359" t="str">
            <v>RUA VOLUNTÁRIOS DA PÁTRIA , 1828</v>
          </cell>
          <cell r="F359" t="str">
            <v>SANTANA - DARZAN</v>
          </cell>
          <cell r="G359" t="str">
            <v>SÃO PAULO</v>
          </cell>
          <cell r="H359" t="str">
            <v>SP LESTE X</v>
          </cell>
          <cell r="I359" t="str">
            <v>P</v>
          </cell>
          <cell r="J359">
            <v>3</v>
          </cell>
          <cell r="K359" t="str">
            <v>DIURNO</v>
          </cell>
          <cell r="L359" t="str">
            <v>CÁSSIA</v>
          </cell>
          <cell r="M359" t="str">
            <v>NÃO</v>
          </cell>
          <cell r="N359" t="str">
            <v>NÃO</v>
          </cell>
        </row>
        <row r="360">
          <cell r="A360" t="str">
            <v>OXX1099198</v>
          </cell>
          <cell r="B360" t="str">
            <v>OXX</v>
          </cell>
          <cell r="C360">
            <v>1099198</v>
          </cell>
          <cell r="D360">
            <v>45152</v>
          </cell>
          <cell r="E360" t="str">
            <v>RUA CAMPOS SALES , 652</v>
          </cell>
          <cell r="F360" t="str">
            <v>CENTRO - SALES</v>
          </cell>
          <cell r="G360" t="str">
            <v>SANTO ANDRÉ</v>
          </cell>
          <cell r="H360" t="str">
            <v>SP LESTE X</v>
          </cell>
          <cell r="I360" t="str">
            <v>P</v>
          </cell>
          <cell r="J360">
            <v>3</v>
          </cell>
          <cell r="K360" t="str">
            <v>DIURNO</v>
          </cell>
          <cell r="L360" t="str">
            <v>ARTHUR</v>
          </cell>
          <cell r="M360" t="str">
            <v>NÃO</v>
          </cell>
          <cell r="N360" t="str">
            <v>NÃO</v>
          </cell>
        </row>
        <row r="361">
          <cell r="A361" t="str">
            <v>OXX1100060</v>
          </cell>
          <cell r="B361" t="str">
            <v>OXX</v>
          </cell>
          <cell r="C361">
            <v>1100060</v>
          </cell>
          <cell r="D361">
            <v>45152</v>
          </cell>
          <cell r="E361" t="str">
            <v>AV : NOVE DE JULHO , 1008</v>
          </cell>
          <cell r="F361" t="str">
            <v>BELA VISTA - 09 DE JULHO</v>
          </cell>
          <cell r="G361" t="str">
            <v>SÃO PAULO</v>
          </cell>
          <cell r="H361" t="str">
            <v>SP LESTE X</v>
          </cell>
          <cell r="I361" t="str">
            <v>P</v>
          </cell>
          <cell r="J361">
            <v>3</v>
          </cell>
          <cell r="K361" t="str">
            <v>DIURNO</v>
          </cell>
          <cell r="L361" t="str">
            <v>JOSÉ WELVYS</v>
          </cell>
          <cell r="M361" t="str">
            <v>NÃO</v>
          </cell>
          <cell r="N361" t="str">
            <v>NÃO</v>
          </cell>
        </row>
        <row r="362">
          <cell r="A362" t="str">
            <v>OXX1100281</v>
          </cell>
          <cell r="B362" t="str">
            <v>OXX</v>
          </cell>
          <cell r="C362">
            <v>1100281</v>
          </cell>
          <cell r="D362">
            <v>45152</v>
          </cell>
          <cell r="E362" t="str">
            <v>AV : GOIÁS , 742</v>
          </cell>
          <cell r="F362" t="str">
            <v>SANTO ANTÔNIO - GOIÁS CAFÉ</v>
          </cell>
          <cell r="G362" t="str">
            <v>SÃO CAETANO DO SUL</v>
          </cell>
          <cell r="H362" t="str">
            <v>SP LESTE X</v>
          </cell>
          <cell r="I362" t="str">
            <v>P</v>
          </cell>
          <cell r="J362">
            <v>3</v>
          </cell>
          <cell r="K362" t="str">
            <v>DIURNO</v>
          </cell>
          <cell r="L362" t="str">
            <v>ANDERSON</v>
          </cell>
          <cell r="M362" t="str">
            <v>NÃO</v>
          </cell>
          <cell r="N362" t="str">
            <v>NÃO</v>
          </cell>
        </row>
        <row r="363">
          <cell r="A363" t="str">
            <v>ASI8</v>
          </cell>
          <cell r="B363" t="str">
            <v>ASI</v>
          </cell>
          <cell r="C363">
            <v>8</v>
          </cell>
          <cell r="D363">
            <v>45152</v>
          </cell>
          <cell r="E363" t="str">
            <v>AV : PROF. FRANCISCO MORATO , 4367</v>
          </cell>
          <cell r="F363" t="str">
            <v>VILA SÔNIA</v>
          </cell>
          <cell r="G363" t="str">
            <v>SÃO PAULO</v>
          </cell>
          <cell r="H363" t="str">
            <v>SP SUL</v>
          </cell>
          <cell r="I363" t="str">
            <v>D</v>
          </cell>
          <cell r="J363">
            <v>3</v>
          </cell>
          <cell r="K363">
            <v>0</v>
          </cell>
          <cell r="L363" t="str">
            <v>ISMAEL</v>
          </cell>
          <cell r="M363" t="str">
            <v>NÃO</v>
          </cell>
          <cell r="N363" t="str">
            <v>NÃO</v>
          </cell>
        </row>
        <row r="364">
          <cell r="A364" t="str">
            <v>CFM732</v>
          </cell>
          <cell r="B364" t="str">
            <v>CFM</v>
          </cell>
          <cell r="C364">
            <v>732</v>
          </cell>
          <cell r="D364">
            <v>45152</v>
          </cell>
          <cell r="E364" t="str">
            <v>RUA GOMES DE CARVALHO , 784</v>
          </cell>
          <cell r="F364" t="str">
            <v>VILA OLÍMPIA</v>
          </cell>
          <cell r="G364" t="str">
            <v>SÃO PAULO</v>
          </cell>
          <cell r="H364" t="str">
            <v>SP SUL</v>
          </cell>
          <cell r="I364" t="str">
            <v>T</v>
          </cell>
          <cell r="J364">
            <v>17</v>
          </cell>
          <cell r="K364">
            <v>0</v>
          </cell>
          <cell r="L364" t="str">
            <v>JUSCELINO</v>
          </cell>
          <cell r="M364" t="str">
            <v>NÃO</v>
          </cell>
          <cell r="N364" t="str">
            <v>NÃO</v>
          </cell>
        </row>
        <row r="365">
          <cell r="A365" t="str">
            <v>DSP132</v>
          </cell>
          <cell r="B365" t="str">
            <v>DSP</v>
          </cell>
          <cell r="C365">
            <v>132</v>
          </cell>
          <cell r="D365">
            <v>45152</v>
          </cell>
          <cell r="E365" t="str">
            <v>RUA DR. ADEMAR QUEIROZ DE MORAIS , 1001</v>
          </cell>
          <cell r="F365" t="str">
            <v>BROOKLIN - POSTO SHELL - 24h</v>
          </cell>
          <cell r="G365" t="str">
            <v>SÃO PAULO</v>
          </cell>
          <cell r="H365" t="str">
            <v>SP SUL</v>
          </cell>
          <cell r="I365" t="str">
            <v>T</v>
          </cell>
          <cell r="J365">
            <v>11</v>
          </cell>
          <cell r="K365">
            <v>0</v>
          </cell>
          <cell r="L365" t="str">
            <v>ELAINE</v>
          </cell>
          <cell r="M365" t="str">
            <v>NÃO</v>
          </cell>
          <cell r="N365" t="str">
            <v>NÃO</v>
          </cell>
        </row>
        <row r="366">
          <cell r="A366" t="str">
            <v>RODR038</v>
          </cell>
          <cell r="B366" t="str">
            <v>ROD</v>
          </cell>
          <cell r="C366" t="str">
            <v>R038</v>
          </cell>
          <cell r="D366">
            <v>45152</v>
          </cell>
          <cell r="E366" t="str">
            <v>RUA GARCIA LORCA , 105</v>
          </cell>
          <cell r="F366" t="str">
            <v>PAULICÉIA</v>
          </cell>
          <cell r="G366" t="str">
            <v>SÃO BERNARDO DO CAMPO</v>
          </cell>
          <cell r="H366" t="str">
            <v>SP SUL</v>
          </cell>
          <cell r="I366" t="str">
            <v>F</v>
          </cell>
          <cell r="J366">
            <v>14</v>
          </cell>
          <cell r="K366">
            <v>0</v>
          </cell>
          <cell r="L366" t="str">
            <v>CARLOS</v>
          </cell>
          <cell r="M366">
            <v>0</v>
          </cell>
          <cell r="N366">
            <v>0</v>
          </cell>
        </row>
        <row r="367">
          <cell r="A367" t="str">
            <v>STMS302</v>
          </cell>
          <cell r="B367" t="str">
            <v>STM</v>
          </cell>
          <cell r="C367" t="str">
            <v>S302</v>
          </cell>
          <cell r="D367">
            <v>45152</v>
          </cell>
          <cell r="E367" t="str">
            <v>AV : SANTO AMARO , 1977</v>
          </cell>
          <cell r="F367" t="str">
            <v>VILA NOVA CONCEIÇÃO - PAVÃO</v>
          </cell>
          <cell r="G367" t="str">
            <v>SÃO PAULO</v>
          </cell>
          <cell r="H367" t="str">
            <v>SP SUL</v>
          </cell>
          <cell r="I367" t="str">
            <v>T</v>
          </cell>
          <cell r="J367">
            <v>40</v>
          </cell>
          <cell r="K367">
            <v>0</v>
          </cell>
          <cell r="L367" t="str">
            <v>RUAN</v>
          </cell>
          <cell r="M367" t="str">
            <v>NÃO</v>
          </cell>
          <cell r="N367" t="str">
            <v>NÃO</v>
          </cell>
        </row>
        <row r="368">
          <cell r="A368" t="str">
            <v>OXX1095040</v>
          </cell>
          <cell r="B368" t="str">
            <v>OXX</v>
          </cell>
          <cell r="C368">
            <v>1095040</v>
          </cell>
          <cell r="D368">
            <v>45152</v>
          </cell>
          <cell r="E368" t="str">
            <v>RUA DAS FLECHAS , 431</v>
          </cell>
          <cell r="F368" t="str">
            <v>VILA MASCOTE - FLECHAS</v>
          </cell>
          <cell r="G368" t="str">
            <v>SÃO PAULO</v>
          </cell>
          <cell r="H368" t="str">
            <v>SP SUL X</v>
          </cell>
          <cell r="I368" t="str">
            <v>P</v>
          </cell>
          <cell r="J368">
            <v>3</v>
          </cell>
          <cell r="K368" t="str">
            <v>DIURNO</v>
          </cell>
          <cell r="L368" t="str">
            <v>CLAUDIA</v>
          </cell>
          <cell r="M368" t="str">
            <v>NÃO</v>
          </cell>
          <cell r="N368" t="str">
            <v>NÃO</v>
          </cell>
        </row>
        <row r="369">
          <cell r="A369" t="str">
            <v>OXX1099652</v>
          </cell>
          <cell r="B369" t="str">
            <v>OXX</v>
          </cell>
          <cell r="C369">
            <v>1099652</v>
          </cell>
          <cell r="D369">
            <v>45152</v>
          </cell>
          <cell r="E369" t="str">
            <v>RUA AURÉLIA , 810</v>
          </cell>
          <cell r="F369" t="str">
            <v>VILA ROMANA - AURÉLIA</v>
          </cell>
          <cell r="G369" t="str">
            <v>SÃO PAULO</v>
          </cell>
          <cell r="H369" t="str">
            <v>SP SUL X</v>
          </cell>
          <cell r="I369" t="str">
            <v>P</v>
          </cell>
          <cell r="J369">
            <v>3</v>
          </cell>
          <cell r="K369" t="str">
            <v>DIURNO</v>
          </cell>
          <cell r="L369" t="str">
            <v>RAYANE</v>
          </cell>
          <cell r="M369" t="str">
            <v>NÃO</v>
          </cell>
          <cell r="N369" t="str">
            <v>NÃO</v>
          </cell>
        </row>
        <row r="370">
          <cell r="A370" t="str">
            <v>OXX1099756</v>
          </cell>
          <cell r="B370" t="str">
            <v>OXX</v>
          </cell>
          <cell r="C370">
            <v>1099756</v>
          </cell>
          <cell r="D370">
            <v>45152</v>
          </cell>
          <cell r="E370" t="str">
            <v>ALAMEDA DOS ARAPANÉS , 271</v>
          </cell>
          <cell r="F370" t="str">
            <v>MOEMA - CENTER MED</v>
          </cell>
          <cell r="G370" t="str">
            <v>SÃO PAULO</v>
          </cell>
          <cell r="H370" t="str">
            <v>SP SUL X</v>
          </cell>
          <cell r="I370" t="str">
            <v>P</v>
          </cell>
          <cell r="J370">
            <v>3</v>
          </cell>
          <cell r="K370" t="str">
            <v>DIURNO</v>
          </cell>
          <cell r="L370" t="str">
            <v>JÉSSICA</v>
          </cell>
          <cell r="M370" t="str">
            <v>NÃO</v>
          </cell>
          <cell r="N370" t="str">
            <v>NÃO</v>
          </cell>
        </row>
        <row r="371">
          <cell r="A371" t="str">
            <v>OXX1100378</v>
          </cell>
          <cell r="B371" t="str">
            <v>OXX</v>
          </cell>
          <cell r="C371">
            <v>1100378</v>
          </cell>
          <cell r="D371">
            <v>45152</v>
          </cell>
          <cell r="E371" t="str">
            <v>AV : SARAH VELOSO , 1546</v>
          </cell>
          <cell r="F371" t="str">
            <v>VELOSO</v>
          </cell>
          <cell r="G371" t="str">
            <v>OSASCO</v>
          </cell>
          <cell r="H371" t="str">
            <v>SP SUL X</v>
          </cell>
          <cell r="I371" t="str">
            <v>P</v>
          </cell>
          <cell r="J371">
            <v>3</v>
          </cell>
          <cell r="K371" t="str">
            <v>DIURNO</v>
          </cell>
          <cell r="L371" t="str">
            <v>FLAVIA</v>
          </cell>
          <cell r="M371" t="str">
            <v>UBER</v>
          </cell>
          <cell r="N371">
            <v>0.3125</v>
          </cell>
        </row>
        <row r="372">
          <cell r="A372" t="str">
            <v>OXX1100736</v>
          </cell>
          <cell r="B372" t="str">
            <v>OXX</v>
          </cell>
          <cell r="C372">
            <v>1100736</v>
          </cell>
          <cell r="D372">
            <v>45152</v>
          </cell>
          <cell r="E372" t="str">
            <v>AV : ENG. HEITOR ANTÔNIO EIRAS GARCIA , 570</v>
          </cell>
          <cell r="F372" t="str">
            <v>BUTANTÃ - PORTEIRAS</v>
          </cell>
          <cell r="G372" t="str">
            <v>SÃO PAULO</v>
          </cell>
          <cell r="H372" t="str">
            <v>SP SUL X</v>
          </cell>
          <cell r="I372" t="str">
            <v>P</v>
          </cell>
          <cell r="J372">
            <v>3</v>
          </cell>
          <cell r="K372" t="str">
            <v>DIURNO</v>
          </cell>
          <cell r="L372" t="str">
            <v>RAFAEL</v>
          </cell>
          <cell r="M372" t="str">
            <v>NÃO</v>
          </cell>
          <cell r="N372" t="str">
            <v>NÃO</v>
          </cell>
        </row>
        <row r="373">
          <cell r="A373" t="str">
            <v>SHX1085657</v>
          </cell>
          <cell r="B373" t="str">
            <v>SHX</v>
          </cell>
          <cell r="C373">
            <v>1085657</v>
          </cell>
          <cell r="D373">
            <v>45152</v>
          </cell>
          <cell r="E373" t="str">
            <v>AV : DOM NERY , 479</v>
          </cell>
          <cell r="F373" t="str">
            <v>VILA EMBARÉ - MADIA</v>
          </cell>
          <cell r="G373" t="str">
            <v>VALINHOS</v>
          </cell>
          <cell r="H373" t="str">
            <v>SP SUL X</v>
          </cell>
          <cell r="I373" t="str">
            <v>P</v>
          </cell>
          <cell r="J373">
            <v>2</v>
          </cell>
          <cell r="K373" t="str">
            <v>DIURNO</v>
          </cell>
          <cell r="L373" t="str">
            <v>ANDRÉ</v>
          </cell>
          <cell r="M373" t="str">
            <v>01 CARRO ( EDSON )</v>
          </cell>
          <cell r="N373">
            <v>0.27083333333333331</v>
          </cell>
        </row>
        <row r="374">
          <cell r="A374" t="str">
            <v/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 t="str">
            <v>Total</v>
          </cell>
          <cell r="J374">
            <v>371</v>
          </cell>
          <cell r="K374">
            <v>219</v>
          </cell>
          <cell r="L374">
            <v>0</v>
          </cell>
          <cell r="M374">
            <v>0</v>
          </cell>
          <cell r="N374">
            <v>0</v>
          </cell>
        </row>
        <row r="375">
          <cell r="A375" t="str">
            <v/>
          </cell>
          <cell r="B375">
            <v>0</v>
          </cell>
          <cell r="C375">
            <v>0</v>
          </cell>
          <cell r="D375">
            <v>0</v>
          </cell>
          <cell r="E375">
            <v>45153</v>
          </cell>
          <cell r="F375" t="str">
            <v>TERÇA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</row>
        <row r="376">
          <cell r="A376" t="str">
            <v>FSJ1265</v>
          </cell>
          <cell r="B376" t="str">
            <v>FSJ</v>
          </cell>
          <cell r="C376">
            <v>1265</v>
          </cell>
          <cell r="D376">
            <v>45153</v>
          </cell>
          <cell r="E376" t="str">
            <v>RUA SÃO CAETANO, 173</v>
          </cell>
          <cell r="F376" t="str">
            <v>VARGAS - SAP 09</v>
          </cell>
          <cell r="G376" t="str">
            <v>SAPUCAIA DO SUL</v>
          </cell>
          <cell r="H376" t="str">
            <v>PORTO ALEGRE</v>
          </cell>
          <cell r="I376" t="str">
            <v>T</v>
          </cell>
          <cell r="J376">
            <v>8</v>
          </cell>
          <cell r="K376">
            <v>0</v>
          </cell>
          <cell r="L376" t="str">
            <v>PATRINE</v>
          </cell>
          <cell r="M376" t="str">
            <v>NÃO</v>
          </cell>
          <cell r="N376" t="str">
            <v>NÃO</v>
          </cell>
        </row>
        <row r="377">
          <cell r="A377" t="str">
            <v>SAM4947</v>
          </cell>
          <cell r="B377" t="str">
            <v>SAM</v>
          </cell>
          <cell r="C377">
            <v>4947</v>
          </cell>
          <cell r="D377">
            <v>45153</v>
          </cell>
          <cell r="E377" t="str">
            <v>AV : SERTÓRIO , 6600 - ANEXO A</v>
          </cell>
          <cell r="F377" t="str">
            <v>SARANDI - NORTE</v>
          </cell>
          <cell r="G377" t="str">
            <v>PORTO ALEGRE</v>
          </cell>
          <cell r="H377" t="str">
            <v>PORTO ALEGRE</v>
          </cell>
          <cell r="I377" t="str">
            <v>CA</v>
          </cell>
          <cell r="J377">
            <v>15</v>
          </cell>
          <cell r="K377">
            <v>0</v>
          </cell>
          <cell r="L377" t="str">
            <v>PAVAN</v>
          </cell>
          <cell r="M377" t="str">
            <v>NÃO</v>
          </cell>
          <cell r="N377" t="str">
            <v>NÃO</v>
          </cell>
        </row>
        <row r="378">
          <cell r="A378" t="str">
            <v>DPA1747</v>
          </cell>
          <cell r="B378" t="str">
            <v>DPA</v>
          </cell>
          <cell r="C378">
            <v>1747</v>
          </cell>
          <cell r="D378">
            <v>45153</v>
          </cell>
          <cell r="E378" t="str">
            <v>RUA FRANCISCO RIBAS , 68</v>
          </cell>
          <cell r="F378" t="str">
            <v>CENTRO</v>
          </cell>
          <cell r="G378" t="str">
            <v>PONTA GROSSA</v>
          </cell>
          <cell r="H378" t="str">
            <v>PR CURITIBA</v>
          </cell>
          <cell r="I378" t="str">
            <v>T</v>
          </cell>
          <cell r="J378">
            <v>13</v>
          </cell>
          <cell r="K378">
            <v>0</v>
          </cell>
          <cell r="L378" t="str">
            <v>HENRIQUE</v>
          </cell>
          <cell r="M378" t="str">
            <v>01 VAN</v>
          </cell>
          <cell r="N378">
            <v>0.70833333333333337</v>
          </cell>
        </row>
        <row r="379">
          <cell r="A379" t="str">
            <v>GUY2</v>
          </cell>
          <cell r="B379" t="str">
            <v>GUY</v>
          </cell>
          <cell r="C379">
            <v>2</v>
          </cell>
          <cell r="D379">
            <v>45153</v>
          </cell>
          <cell r="E379" t="str">
            <v>AV : ALBERTO BRUNING , 331</v>
          </cell>
          <cell r="F379" t="str">
            <v>JD. SANTOS DUMONT</v>
          </cell>
          <cell r="G379" t="str">
            <v>PARANAVAÍ</v>
          </cell>
          <cell r="H379" t="str">
            <v>PR LONDRINA</v>
          </cell>
          <cell r="I379" t="str">
            <v>T</v>
          </cell>
          <cell r="J379">
            <v>15</v>
          </cell>
          <cell r="K379">
            <v>0</v>
          </cell>
          <cell r="L379" t="str">
            <v>MARIANA/ALINE</v>
          </cell>
          <cell r="M379" t="str">
            <v>01 VAN</v>
          </cell>
          <cell r="N379">
            <v>0.64583333333333337</v>
          </cell>
        </row>
        <row r="380">
          <cell r="A380" t="str">
            <v>HORF010</v>
          </cell>
          <cell r="B380" t="str">
            <v>HOR</v>
          </cell>
          <cell r="C380" t="str">
            <v>F010</v>
          </cell>
          <cell r="D380">
            <v>45153</v>
          </cell>
          <cell r="E380" t="str">
            <v>RUA ATOR PAULO GUSTAVO , 35</v>
          </cell>
          <cell r="F380" t="str">
            <v>ICARAÍ - PAULO GUSTAVO</v>
          </cell>
          <cell r="G380" t="str">
            <v>NITERÓI</v>
          </cell>
          <cell r="H380" t="str">
            <v>RJ</v>
          </cell>
          <cell r="I380" t="str">
            <v>T</v>
          </cell>
          <cell r="J380">
            <v>19</v>
          </cell>
          <cell r="K380">
            <v>0</v>
          </cell>
          <cell r="L380" t="str">
            <v>RAFAEL</v>
          </cell>
          <cell r="M380" t="str">
            <v>NÃO</v>
          </cell>
          <cell r="N380" t="str">
            <v>NÃO</v>
          </cell>
        </row>
        <row r="381">
          <cell r="A381" t="str">
            <v>HORF013</v>
          </cell>
          <cell r="B381" t="str">
            <v>HOR</v>
          </cell>
          <cell r="C381" t="str">
            <v>F013</v>
          </cell>
          <cell r="D381">
            <v>45153</v>
          </cell>
          <cell r="E381" t="str">
            <v>RUA MARQUÊS DE PARANÁ , 312</v>
          </cell>
          <cell r="F381" t="str">
            <v>CENTRO</v>
          </cell>
          <cell r="G381" t="str">
            <v>NITERÓI</v>
          </cell>
          <cell r="H381" t="str">
            <v>RJ</v>
          </cell>
          <cell r="I381" t="str">
            <v>T</v>
          </cell>
          <cell r="J381">
            <v>17</v>
          </cell>
          <cell r="K381">
            <v>0</v>
          </cell>
          <cell r="L381" t="str">
            <v>MICHELE</v>
          </cell>
          <cell r="M381" t="str">
            <v>NÃO</v>
          </cell>
          <cell r="N381" t="str">
            <v>NÃO</v>
          </cell>
        </row>
        <row r="382">
          <cell r="A382" t="str">
            <v>HORF051</v>
          </cell>
          <cell r="B382" t="str">
            <v>HOR</v>
          </cell>
          <cell r="C382" t="str">
            <v>F051</v>
          </cell>
          <cell r="D382">
            <v>45153</v>
          </cell>
          <cell r="E382" t="str">
            <v>AV : PAULO DE FRONTIN , 854</v>
          </cell>
          <cell r="F382" t="str">
            <v>ATERRADO</v>
          </cell>
          <cell r="G382" t="str">
            <v>VOLTA REDONDA</v>
          </cell>
          <cell r="H382" t="str">
            <v>RJ</v>
          </cell>
          <cell r="I382" t="str">
            <v>T</v>
          </cell>
          <cell r="J382">
            <v>15</v>
          </cell>
          <cell r="K382">
            <v>0</v>
          </cell>
          <cell r="L382" t="str">
            <v>ANTÔNIO</v>
          </cell>
          <cell r="M382" t="str">
            <v>01 VAN</v>
          </cell>
          <cell r="N382">
            <v>0.625</v>
          </cell>
        </row>
        <row r="383">
          <cell r="A383" t="str">
            <v>PDA1312</v>
          </cell>
          <cell r="B383" t="str">
            <v>PDA</v>
          </cell>
          <cell r="C383">
            <v>1312</v>
          </cell>
          <cell r="D383">
            <v>45153</v>
          </cell>
          <cell r="E383" t="str">
            <v>PASSEIO DOS FLAMBOYANTS , 200</v>
          </cell>
          <cell r="F383" t="str">
            <v>SHOPPING IGUATEMI</v>
          </cell>
          <cell r="G383" t="str">
            <v>SÃO CARLOS</v>
          </cell>
          <cell r="H383" t="str">
            <v>SP INT BAURU</v>
          </cell>
          <cell r="I383" t="str">
            <v>T</v>
          </cell>
          <cell r="J383">
            <v>30</v>
          </cell>
          <cell r="K383" t="str">
            <v>APOIO LIMEIRA</v>
          </cell>
          <cell r="L383" t="str">
            <v>ROSÂNGELA</v>
          </cell>
          <cell r="M383" t="str">
            <v>02 VANS</v>
          </cell>
          <cell r="N383">
            <v>0.66666666666666663</v>
          </cell>
        </row>
        <row r="384">
          <cell r="A384" t="str">
            <v>PEN616</v>
          </cell>
          <cell r="B384" t="str">
            <v>PEN</v>
          </cell>
          <cell r="C384">
            <v>616</v>
          </cell>
          <cell r="D384">
            <v>45153</v>
          </cell>
          <cell r="E384" t="str">
            <v>AV : BENTO DA CRUZ , 465 / 479</v>
          </cell>
          <cell r="F384" t="str">
            <v>CENTRO</v>
          </cell>
          <cell r="G384" t="str">
            <v>PENÁPOLIS</v>
          </cell>
          <cell r="H384" t="str">
            <v>SP INT BAURU</v>
          </cell>
          <cell r="I384" t="str">
            <v>T</v>
          </cell>
          <cell r="J384">
            <v>5</v>
          </cell>
          <cell r="K384">
            <v>0</v>
          </cell>
          <cell r="L384" t="str">
            <v>VICTOR</v>
          </cell>
          <cell r="M384" t="str">
            <v>01 CARRO</v>
          </cell>
          <cell r="N384">
            <v>0.66666666666666663</v>
          </cell>
        </row>
        <row r="385">
          <cell r="A385" t="str">
            <v>OXX1093030</v>
          </cell>
          <cell r="B385" t="str">
            <v>OXX</v>
          </cell>
          <cell r="C385">
            <v>1093030</v>
          </cell>
          <cell r="D385">
            <v>45153</v>
          </cell>
          <cell r="E385" t="str">
            <v xml:space="preserve">AV : JOSÉ BONIFÁCIO , 953 </v>
          </cell>
          <cell r="F385" t="str">
            <v>JD. FLAMBOYANT - PISCINAS</v>
          </cell>
          <cell r="G385" t="str">
            <v>CAMPINAS</v>
          </cell>
          <cell r="H385" t="str">
            <v>SP INT CPN</v>
          </cell>
          <cell r="I385" t="str">
            <v>P</v>
          </cell>
          <cell r="J385">
            <v>3</v>
          </cell>
          <cell r="K385" t="str">
            <v>DIURNO</v>
          </cell>
          <cell r="L385" t="str">
            <v>IZABELA/THALIA</v>
          </cell>
          <cell r="M385" t="str">
            <v>NÃO</v>
          </cell>
          <cell r="N385" t="str">
            <v>NÃO</v>
          </cell>
        </row>
        <row r="386">
          <cell r="A386" t="str">
            <v>OXX1094403</v>
          </cell>
          <cell r="B386" t="str">
            <v>OXX</v>
          </cell>
          <cell r="C386">
            <v>1094403</v>
          </cell>
          <cell r="D386">
            <v>45153</v>
          </cell>
          <cell r="E386" t="str">
            <v>RUA AGOSTINHO PATTARO , 47</v>
          </cell>
          <cell r="F386" t="str">
            <v>BARÃO GERALDO - HABILIDADES</v>
          </cell>
          <cell r="G386" t="str">
            <v>CAMPINAS</v>
          </cell>
          <cell r="H386" t="str">
            <v>SP INT CPN</v>
          </cell>
          <cell r="I386" t="str">
            <v>P</v>
          </cell>
          <cell r="J386">
            <v>3</v>
          </cell>
          <cell r="K386" t="str">
            <v>DIURNO</v>
          </cell>
          <cell r="L386" t="str">
            <v>LEONARDO</v>
          </cell>
          <cell r="M386" t="str">
            <v>NÃO</v>
          </cell>
          <cell r="N386" t="str">
            <v>NÃO</v>
          </cell>
        </row>
        <row r="387">
          <cell r="A387" t="str">
            <v>OXX1096621</v>
          </cell>
          <cell r="B387" t="str">
            <v>OXX</v>
          </cell>
          <cell r="C387">
            <v>1096621</v>
          </cell>
          <cell r="D387">
            <v>45153</v>
          </cell>
          <cell r="E387" t="str">
            <v>ALAMEDA CAPITÃO SAMUEL FERREIRA , 78</v>
          </cell>
          <cell r="F387" t="str">
            <v>VILA JOAQUIM INÁCIO - CAPITÃO</v>
          </cell>
          <cell r="G387" t="str">
            <v>CAMPINAS</v>
          </cell>
          <cell r="H387" t="str">
            <v>SP INT CPN</v>
          </cell>
          <cell r="I387" t="str">
            <v>P</v>
          </cell>
          <cell r="J387">
            <v>3</v>
          </cell>
          <cell r="K387" t="str">
            <v>DIURNO</v>
          </cell>
          <cell r="L387" t="str">
            <v>LETÍCIA/EVA</v>
          </cell>
          <cell r="M387" t="str">
            <v>NÃO</v>
          </cell>
          <cell r="N387" t="str">
            <v>NÃO</v>
          </cell>
        </row>
        <row r="388">
          <cell r="A388" t="str">
            <v>CFB651</v>
          </cell>
          <cell r="B388" t="str">
            <v>CFB</v>
          </cell>
          <cell r="C388">
            <v>651</v>
          </cell>
          <cell r="D388">
            <v>45153</v>
          </cell>
          <cell r="E388" t="str">
            <v>AV : SÃO CARLOS , 3594</v>
          </cell>
          <cell r="F388" t="str">
            <v>VILA COSTA DO SOL</v>
          </cell>
          <cell r="G388" t="str">
            <v>SÃO CARLOS</v>
          </cell>
          <cell r="H388" t="str">
            <v>SP INT LIMEIRA</v>
          </cell>
          <cell r="I388" t="str">
            <v>T</v>
          </cell>
          <cell r="J388">
            <v>17</v>
          </cell>
          <cell r="K388">
            <v>0</v>
          </cell>
          <cell r="L388" t="str">
            <v>GUSTAVO</v>
          </cell>
          <cell r="M388" t="str">
            <v>01 VAN e 01 CARRO</v>
          </cell>
          <cell r="N388">
            <v>0.70833333333333337</v>
          </cell>
        </row>
        <row r="389">
          <cell r="A389" t="str">
            <v>EXS5657</v>
          </cell>
          <cell r="B389" t="str">
            <v>EXS</v>
          </cell>
          <cell r="C389">
            <v>5657</v>
          </cell>
          <cell r="D389">
            <v>45153</v>
          </cell>
          <cell r="E389" t="str">
            <v>AV : JUSCELINO KUBISTCHEK DE OLIVEIRA , 637</v>
          </cell>
          <cell r="F389" t="str">
            <v>JD. EULÁLIA</v>
          </cell>
          <cell r="G389" t="str">
            <v>TAUBATÉ</v>
          </cell>
          <cell r="H389" t="str">
            <v>SP INT SJC</v>
          </cell>
          <cell r="I389" t="str">
            <v>T</v>
          </cell>
          <cell r="J389">
            <v>36</v>
          </cell>
          <cell r="K389">
            <v>0</v>
          </cell>
          <cell r="L389" t="str">
            <v>JAÍNE/FELIPE/BRUNA</v>
          </cell>
          <cell r="M389" t="str">
            <v>02 VANS e 01 CARRO</v>
          </cell>
          <cell r="N389">
            <v>0.6875</v>
          </cell>
        </row>
        <row r="390">
          <cell r="A390" t="str">
            <v>CFO322</v>
          </cell>
          <cell r="B390" t="str">
            <v>CFO</v>
          </cell>
          <cell r="C390">
            <v>322</v>
          </cell>
          <cell r="D390">
            <v>45153</v>
          </cell>
          <cell r="E390" t="str">
            <v>AV : BRASIL , 376 - SOROCABA NORTE</v>
          </cell>
          <cell r="F390" t="str">
            <v>TERRA VERMELHA</v>
          </cell>
          <cell r="G390" t="str">
            <v>SOROCABA</v>
          </cell>
          <cell r="H390" t="str">
            <v>SP LESTE</v>
          </cell>
          <cell r="I390" t="str">
            <v>PA</v>
          </cell>
          <cell r="J390">
            <v>32</v>
          </cell>
          <cell r="K390">
            <v>0</v>
          </cell>
          <cell r="L390" t="str">
            <v>LUANA/MARCELO/KAIQUE</v>
          </cell>
          <cell r="M390" t="str">
            <v>02 VANS e 01 CARRO</v>
          </cell>
          <cell r="N390">
            <v>0.66666666666666663</v>
          </cell>
        </row>
        <row r="391">
          <cell r="A391" t="str">
            <v>HNTN008</v>
          </cell>
          <cell r="B391" t="str">
            <v>HNT</v>
          </cell>
          <cell r="C391" t="str">
            <v>N008</v>
          </cell>
          <cell r="D391">
            <v>45153</v>
          </cell>
          <cell r="E391" t="str">
            <v>RUA MANUEL DA NÓBREGA , 209</v>
          </cell>
          <cell r="F391" t="str">
            <v>PARAÍSO</v>
          </cell>
          <cell r="G391" t="str">
            <v>SÃO PAULO</v>
          </cell>
          <cell r="H391" t="str">
            <v>SP LESTE</v>
          </cell>
          <cell r="I391" t="str">
            <v>T</v>
          </cell>
          <cell r="J391">
            <v>14</v>
          </cell>
          <cell r="K391">
            <v>0</v>
          </cell>
          <cell r="L391" t="str">
            <v>LUÍS/ANTÔNIO</v>
          </cell>
          <cell r="M391" t="str">
            <v>NÃO</v>
          </cell>
          <cell r="N391" t="str">
            <v>NÃO</v>
          </cell>
        </row>
        <row r="392">
          <cell r="A392" t="str">
            <v>PDA1312</v>
          </cell>
          <cell r="B392" t="str">
            <v>PDA</v>
          </cell>
          <cell r="C392">
            <v>1312</v>
          </cell>
          <cell r="D392">
            <v>45153</v>
          </cell>
          <cell r="E392" t="str">
            <v>PASSEIO DOS FLAMBOYANTS , 200</v>
          </cell>
          <cell r="F392" t="str">
            <v>SHOPPING IGUATEMI</v>
          </cell>
          <cell r="G392" t="str">
            <v>SÃO CARLOS</v>
          </cell>
          <cell r="H392" t="str">
            <v>SP LESTE</v>
          </cell>
          <cell r="I392" t="str">
            <v>APOIO</v>
          </cell>
          <cell r="J392">
            <v>15</v>
          </cell>
          <cell r="K392">
            <v>0</v>
          </cell>
          <cell r="L392" t="str">
            <v>JÉSSICA</v>
          </cell>
          <cell r="M392" t="str">
            <v>01 VAN de 18</v>
          </cell>
          <cell r="N392">
            <v>0.66666666666666663</v>
          </cell>
        </row>
        <row r="393">
          <cell r="A393" t="str">
            <v>PMO18</v>
          </cell>
          <cell r="B393" t="str">
            <v>PMO</v>
          </cell>
          <cell r="C393">
            <v>18</v>
          </cell>
          <cell r="D393">
            <v>45153</v>
          </cell>
          <cell r="E393" t="str">
            <v xml:space="preserve">AV : DEP. EMÍLIO CARLOS , 3061 </v>
          </cell>
          <cell r="F393" t="str">
            <v>CACHOEIRINHA</v>
          </cell>
          <cell r="G393" t="str">
            <v>SÃO PAULO</v>
          </cell>
          <cell r="H393" t="str">
            <v>SP LESTE</v>
          </cell>
          <cell r="I393" t="str">
            <v>T</v>
          </cell>
          <cell r="J393">
            <v>6</v>
          </cell>
          <cell r="K393">
            <v>0</v>
          </cell>
          <cell r="L393" t="str">
            <v>TAMIRES</v>
          </cell>
          <cell r="M393" t="str">
            <v>NÃO</v>
          </cell>
          <cell r="N393" t="str">
            <v>NÃO</v>
          </cell>
        </row>
        <row r="394">
          <cell r="A394" t="str">
            <v>STMS111</v>
          </cell>
          <cell r="B394" t="str">
            <v>STM</v>
          </cell>
          <cell r="C394" t="str">
            <v>S111</v>
          </cell>
          <cell r="D394">
            <v>45153</v>
          </cell>
          <cell r="E394" t="str">
            <v>AV : BRAZ LEME , 1200</v>
          </cell>
          <cell r="F394" t="str">
            <v>CASA VERDE</v>
          </cell>
          <cell r="G394" t="str">
            <v>SÃO PAULO</v>
          </cell>
          <cell r="H394" t="str">
            <v>SP LESTE</v>
          </cell>
          <cell r="I394" t="str">
            <v>T</v>
          </cell>
          <cell r="J394">
            <v>35</v>
          </cell>
          <cell r="K394">
            <v>0</v>
          </cell>
          <cell r="L394" t="str">
            <v>PATRÍCIA/CARINA</v>
          </cell>
          <cell r="M394" t="str">
            <v>NÃO</v>
          </cell>
          <cell r="N394" t="str">
            <v>NÃO</v>
          </cell>
        </row>
        <row r="395">
          <cell r="A395" t="str">
            <v>OXX1094357</v>
          </cell>
          <cell r="B395" t="str">
            <v>OXX</v>
          </cell>
          <cell r="C395">
            <v>1094357</v>
          </cell>
          <cell r="D395">
            <v>45153</v>
          </cell>
          <cell r="E395" t="str">
            <v>RUA SOLIDÔNIO LEITE , 2310</v>
          </cell>
          <cell r="F395" t="str">
            <v>VILA EMA - SOLIDÔNIO</v>
          </cell>
          <cell r="G395" t="str">
            <v>SÃO PAULO</v>
          </cell>
          <cell r="H395" t="str">
            <v>SP LESTE X</v>
          </cell>
          <cell r="I395" t="str">
            <v>P</v>
          </cell>
          <cell r="J395">
            <v>3</v>
          </cell>
          <cell r="K395" t="str">
            <v>DIURNO</v>
          </cell>
          <cell r="L395" t="str">
            <v>GAMA/JOYCE</v>
          </cell>
          <cell r="M395" t="str">
            <v>NÃO</v>
          </cell>
          <cell r="N395" t="str">
            <v>NÃO</v>
          </cell>
        </row>
        <row r="396">
          <cell r="A396" t="str">
            <v>OXX1094864</v>
          </cell>
          <cell r="B396" t="str">
            <v>OXX</v>
          </cell>
          <cell r="C396">
            <v>1094864</v>
          </cell>
          <cell r="D396">
            <v>45153</v>
          </cell>
          <cell r="E396" t="str">
            <v>RUA VISCONDE DE INHAÚMA , 625</v>
          </cell>
          <cell r="F396" t="str">
            <v>OSWALDO CRUZ - VISCONDE</v>
          </cell>
          <cell r="G396" t="str">
            <v>SÃO CAETANO DO SUL</v>
          </cell>
          <cell r="H396" t="str">
            <v>SP LESTE X</v>
          </cell>
          <cell r="I396" t="str">
            <v>P</v>
          </cell>
          <cell r="J396">
            <v>3</v>
          </cell>
          <cell r="K396" t="str">
            <v>DIURNO</v>
          </cell>
          <cell r="L396" t="str">
            <v>CÁSSIA</v>
          </cell>
          <cell r="M396" t="str">
            <v>UBER</v>
          </cell>
          <cell r="N396">
            <v>0.3125</v>
          </cell>
        </row>
        <row r="397">
          <cell r="A397" t="str">
            <v>OXX1095165</v>
          </cell>
          <cell r="B397" t="str">
            <v>OXX</v>
          </cell>
          <cell r="C397">
            <v>1095165</v>
          </cell>
          <cell r="D397">
            <v>45153</v>
          </cell>
          <cell r="E397" t="str">
            <v>RUA CEL. ALFREDO FLAQUER , 20</v>
          </cell>
          <cell r="F397" t="str">
            <v>CENTRO - FLAQUER MEGA</v>
          </cell>
          <cell r="G397" t="str">
            <v>SANTO ANDRÉ</v>
          </cell>
          <cell r="H397" t="str">
            <v>SP LESTE X</v>
          </cell>
          <cell r="I397" t="str">
            <v>P</v>
          </cell>
          <cell r="J397">
            <v>3</v>
          </cell>
          <cell r="K397" t="str">
            <v>DIURNO</v>
          </cell>
          <cell r="L397" t="str">
            <v>LARISSA</v>
          </cell>
          <cell r="M397" t="str">
            <v>NÃO</v>
          </cell>
          <cell r="N397" t="str">
            <v>NÃO</v>
          </cell>
        </row>
        <row r="398">
          <cell r="A398" t="str">
            <v>OXX1095633</v>
          </cell>
          <cell r="B398" t="str">
            <v>OXX</v>
          </cell>
          <cell r="C398">
            <v>1095633</v>
          </cell>
          <cell r="D398">
            <v>45153</v>
          </cell>
          <cell r="E398" t="str">
            <v>RUA DAS PALMEIRAS , 437</v>
          </cell>
          <cell r="F398" t="str">
            <v>JARDIM - PALMEIRAS</v>
          </cell>
          <cell r="G398" t="str">
            <v>SANTO ANDRÉ</v>
          </cell>
          <cell r="H398" t="str">
            <v>SP LESTE X</v>
          </cell>
          <cell r="I398" t="str">
            <v>P</v>
          </cell>
          <cell r="J398">
            <v>3</v>
          </cell>
          <cell r="K398" t="str">
            <v>DIURNO</v>
          </cell>
          <cell r="L398" t="str">
            <v>JOSÉ WELVYS</v>
          </cell>
          <cell r="M398" t="str">
            <v>UBER</v>
          </cell>
          <cell r="N398">
            <v>0.3125</v>
          </cell>
        </row>
        <row r="399">
          <cell r="A399" t="str">
            <v>OXX1098800</v>
          </cell>
          <cell r="B399" t="str">
            <v>OXX</v>
          </cell>
          <cell r="C399">
            <v>1098800</v>
          </cell>
          <cell r="D399">
            <v>45153</v>
          </cell>
          <cell r="E399" t="str">
            <v>AV : DR. ORÊNCIO VIDIGAL , 496</v>
          </cell>
          <cell r="F399" t="str">
            <v>PENHA - ORÊNCIA</v>
          </cell>
          <cell r="G399" t="str">
            <v>SÃO PAULO</v>
          </cell>
          <cell r="H399" t="str">
            <v>SP LESTE X</v>
          </cell>
          <cell r="I399" t="str">
            <v>P</v>
          </cell>
          <cell r="J399">
            <v>3</v>
          </cell>
          <cell r="K399" t="str">
            <v>DIURNO</v>
          </cell>
          <cell r="L399" t="str">
            <v>ANDERSON</v>
          </cell>
          <cell r="M399" t="str">
            <v>NÃO</v>
          </cell>
          <cell r="N399" t="str">
            <v>NÃO</v>
          </cell>
        </row>
        <row r="400">
          <cell r="A400" t="str">
            <v>OXX1098976</v>
          </cell>
          <cell r="B400" t="str">
            <v>OXX</v>
          </cell>
          <cell r="C400">
            <v>1098976</v>
          </cell>
          <cell r="D400">
            <v>45153</v>
          </cell>
          <cell r="E400" t="str">
            <v xml:space="preserve">RUA SANTA VIRGÍNIA , 286 </v>
          </cell>
          <cell r="F400" t="str">
            <v>TATUAPÉ - PADOKA VIRGÍNIA</v>
          </cell>
          <cell r="G400" t="str">
            <v>SÃO PAULO</v>
          </cell>
          <cell r="H400" t="str">
            <v>SP LESTE X</v>
          </cell>
          <cell r="I400" t="str">
            <v>P</v>
          </cell>
          <cell r="J400">
            <v>3</v>
          </cell>
          <cell r="K400" t="str">
            <v>DIURNO</v>
          </cell>
          <cell r="L400" t="str">
            <v>ARTHUR</v>
          </cell>
          <cell r="M400" t="str">
            <v>NÃO</v>
          </cell>
          <cell r="N400" t="str">
            <v>NÃO</v>
          </cell>
        </row>
        <row r="401">
          <cell r="A401" t="str">
            <v>CFX579</v>
          </cell>
          <cell r="B401" t="str">
            <v>CFX</v>
          </cell>
          <cell r="C401">
            <v>579</v>
          </cell>
          <cell r="D401">
            <v>45153</v>
          </cell>
          <cell r="E401" t="str">
            <v>RUA TUIM , 746</v>
          </cell>
          <cell r="F401" t="str">
            <v>MOEMA - ROUXINOL</v>
          </cell>
          <cell r="G401" t="str">
            <v>SÃO PAULO</v>
          </cell>
          <cell r="H401" t="str">
            <v>SP SUL</v>
          </cell>
          <cell r="I401" t="str">
            <v>T</v>
          </cell>
          <cell r="J401">
            <v>5</v>
          </cell>
          <cell r="K401">
            <v>0</v>
          </cell>
          <cell r="L401" t="str">
            <v>GLEDSON</v>
          </cell>
          <cell r="M401" t="str">
            <v>NÃO</v>
          </cell>
          <cell r="N401" t="str">
            <v>NÃO</v>
          </cell>
        </row>
        <row r="402">
          <cell r="A402" t="str">
            <v>HNTN005</v>
          </cell>
          <cell r="B402" t="str">
            <v>HNT</v>
          </cell>
          <cell r="C402" t="str">
            <v>N005</v>
          </cell>
          <cell r="D402">
            <v>45153</v>
          </cell>
          <cell r="E402" t="str">
            <v>AV : SANTO AMARO , 3493</v>
          </cell>
          <cell r="F402" t="str">
            <v>BROOKLIN</v>
          </cell>
          <cell r="G402" t="str">
            <v>SÃO PAULO</v>
          </cell>
          <cell r="H402" t="str">
            <v>SP SUL</v>
          </cell>
          <cell r="I402" t="str">
            <v>T</v>
          </cell>
          <cell r="J402">
            <v>22</v>
          </cell>
          <cell r="K402">
            <v>0</v>
          </cell>
          <cell r="L402" t="str">
            <v>ELAINE</v>
          </cell>
          <cell r="M402" t="str">
            <v>NÃO</v>
          </cell>
          <cell r="N402" t="str">
            <v>NÃO</v>
          </cell>
        </row>
        <row r="403">
          <cell r="A403" t="str">
            <v>PMO57</v>
          </cell>
          <cell r="B403" t="str">
            <v>PMO</v>
          </cell>
          <cell r="C403">
            <v>57</v>
          </cell>
          <cell r="D403">
            <v>45153</v>
          </cell>
          <cell r="E403" t="str">
            <v>RUA VOLUNTÁRIOS DA PÁTRIA , 2808</v>
          </cell>
          <cell r="F403" t="str">
            <v>SANTANA - VOLUNTÁRIOS</v>
          </cell>
          <cell r="G403" t="str">
            <v>SÃO PAULO</v>
          </cell>
          <cell r="H403" t="str">
            <v>SP SUL</v>
          </cell>
          <cell r="I403" t="str">
            <v>T</v>
          </cell>
          <cell r="J403">
            <v>4</v>
          </cell>
          <cell r="K403">
            <v>0</v>
          </cell>
          <cell r="L403" t="str">
            <v>FERNANDO</v>
          </cell>
          <cell r="M403" t="str">
            <v>NÃO</v>
          </cell>
          <cell r="N403" t="str">
            <v>NÃO</v>
          </cell>
        </row>
        <row r="404">
          <cell r="A404" t="str">
            <v>RODR020</v>
          </cell>
          <cell r="B404" t="str">
            <v>ROD</v>
          </cell>
          <cell r="C404" t="str">
            <v>R020</v>
          </cell>
          <cell r="D404">
            <v>45153</v>
          </cell>
          <cell r="E404" t="str">
            <v>AV : DAS NAÇÕES UNIDAS , 22003</v>
          </cell>
          <cell r="F404" t="str">
            <v>JURUBATUBA</v>
          </cell>
          <cell r="G404" t="str">
            <v>SÃO PAULO</v>
          </cell>
          <cell r="H404" t="str">
            <v>SP SUL</v>
          </cell>
          <cell r="I404" t="str">
            <v>PP</v>
          </cell>
          <cell r="J404">
            <v>12</v>
          </cell>
          <cell r="K404">
            <v>0</v>
          </cell>
          <cell r="L404" t="str">
            <v>RUAN</v>
          </cell>
          <cell r="M404" t="str">
            <v>NÃO</v>
          </cell>
          <cell r="N404" t="str">
            <v>NÃO</v>
          </cell>
        </row>
        <row r="405">
          <cell r="A405" t="str">
            <v>RODR038</v>
          </cell>
          <cell r="B405" t="str">
            <v>ROD</v>
          </cell>
          <cell r="C405" t="str">
            <v>R038</v>
          </cell>
          <cell r="D405">
            <v>45153</v>
          </cell>
          <cell r="E405" t="str">
            <v>RUA GARCIA LORCA , 105</v>
          </cell>
          <cell r="F405" t="str">
            <v>PAULICÉIA</v>
          </cell>
          <cell r="G405" t="str">
            <v>SÃO BERNARDO DO CAMPO</v>
          </cell>
          <cell r="H405" t="str">
            <v>SP SUL</v>
          </cell>
          <cell r="I405" t="str">
            <v>CA</v>
          </cell>
          <cell r="J405">
            <v>14</v>
          </cell>
          <cell r="K405" t="str">
            <v>DIURNO</v>
          </cell>
          <cell r="L405" t="str">
            <v>CARLOS</v>
          </cell>
          <cell r="M405" t="str">
            <v>01 VAN</v>
          </cell>
          <cell r="N405">
            <v>0.25</v>
          </cell>
        </row>
        <row r="406">
          <cell r="A406" t="str">
            <v>RODR038</v>
          </cell>
          <cell r="B406" t="str">
            <v>ROD</v>
          </cell>
          <cell r="C406" t="str">
            <v>R038</v>
          </cell>
          <cell r="D406">
            <v>45153</v>
          </cell>
          <cell r="E406" t="str">
            <v>RUA GARCIA LORCA , 105</v>
          </cell>
          <cell r="F406" t="str">
            <v>PAULICÉIA</v>
          </cell>
          <cell r="G406" t="str">
            <v>SÃO BERNARDO DO CAMPO</v>
          </cell>
          <cell r="H406" t="str">
            <v>SP SUL</v>
          </cell>
          <cell r="I406" t="str">
            <v>T</v>
          </cell>
          <cell r="J406">
            <v>39</v>
          </cell>
          <cell r="K406">
            <v>0</v>
          </cell>
          <cell r="L406" t="str">
            <v>VIANA/JUSCELINO</v>
          </cell>
          <cell r="M406" t="str">
            <v>03 VANS</v>
          </cell>
          <cell r="N406">
            <v>0.70833333333333337</v>
          </cell>
        </row>
        <row r="407">
          <cell r="A407" t="str">
            <v>RODR050</v>
          </cell>
          <cell r="B407" t="str">
            <v>ROD</v>
          </cell>
          <cell r="C407" t="str">
            <v>R050</v>
          </cell>
          <cell r="D407">
            <v>45153</v>
          </cell>
          <cell r="E407" t="str">
            <v>RUA CHIARA LUBICH , 67.501</v>
          </cell>
          <cell r="F407" t="str">
            <v>PQ.ELOY CHAVES</v>
          </cell>
          <cell r="G407" t="str">
            <v>JUNDIAÍ III</v>
          </cell>
          <cell r="H407" t="str">
            <v>SP SUL</v>
          </cell>
          <cell r="I407" t="str">
            <v>F</v>
          </cell>
          <cell r="J407">
            <v>14</v>
          </cell>
          <cell r="K407">
            <v>0</v>
          </cell>
          <cell r="L407" t="str">
            <v>CARLOS</v>
          </cell>
          <cell r="M407">
            <v>0</v>
          </cell>
          <cell r="N407">
            <v>0</v>
          </cell>
        </row>
        <row r="408">
          <cell r="A408" t="str">
            <v>OXX1094344</v>
          </cell>
          <cell r="B408" t="str">
            <v>OXX</v>
          </cell>
          <cell r="C408">
            <v>1094344</v>
          </cell>
          <cell r="D408">
            <v>45153</v>
          </cell>
          <cell r="E408" t="str">
            <v>RUA SANSÃO ALVES DOS SANTOS , 185 - CJ. 193</v>
          </cell>
          <cell r="F408" t="str">
            <v>CIDADE MONÇÕES - SANSÃO DRY</v>
          </cell>
          <cell r="G408" t="str">
            <v>SÃO PAULO</v>
          </cell>
          <cell r="H408" t="str">
            <v>SP SUL X</v>
          </cell>
          <cell r="I408" t="str">
            <v>P</v>
          </cell>
          <cell r="J408">
            <v>3</v>
          </cell>
          <cell r="K408" t="str">
            <v>DIURNO</v>
          </cell>
          <cell r="L408" t="str">
            <v>CLAUDIA</v>
          </cell>
          <cell r="M408" t="str">
            <v>NÃO</v>
          </cell>
          <cell r="N408" t="str">
            <v>NÃO</v>
          </cell>
        </row>
        <row r="409">
          <cell r="A409" t="str">
            <v>OXX1094925</v>
          </cell>
          <cell r="B409" t="str">
            <v>OXX</v>
          </cell>
          <cell r="C409">
            <v>1094925</v>
          </cell>
          <cell r="D409">
            <v>45153</v>
          </cell>
          <cell r="E409" t="str">
            <v>RUA MUNICIPAL , 89</v>
          </cell>
          <cell r="F409" t="str">
            <v>CENTRO</v>
          </cell>
          <cell r="G409" t="str">
            <v>SÃO BERNARDO DO CAMPO</v>
          </cell>
          <cell r="H409" t="str">
            <v>SP SUL X</v>
          </cell>
          <cell r="I409" t="str">
            <v>P</v>
          </cell>
          <cell r="J409">
            <v>3</v>
          </cell>
          <cell r="K409" t="str">
            <v>DIURNO</v>
          </cell>
          <cell r="L409" t="str">
            <v>NATHALIA</v>
          </cell>
          <cell r="M409" t="str">
            <v>UBER</v>
          </cell>
          <cell r="N409">
            <v>0.3125</v>
          </cell>
        </row>
        <row r="410">
          <cell r="A410" t="str">
            <v>OXX1095530</v>
          </cell>
          <cell r="B410" t="str">
            <v>OXX</v>
          </cell>
          <cell r="C410">
            <v>1095530</v>
          </cell>
          <cell r="D410">
            <v>45153</v>
          </cell>
          <cell r="E410" t="str">
            <v>RUA CAYOWAÁ , 390</v>
          </cell>
          <cell r="F410" t="str">
            <v>PERDIZES - CAYOWAÁ</v>
          </cell>
          <cell r="G410" t="str">
            <v>SÃO PAULO</v>
          </cell>
          <cell r="H410" t="str">
            <v>SP SUL X</v>
          </cell>
          <cell r="I410" t="str">
            <v>P</v>
          </cell>
          <cell r="J410">
            <v>3</v>
          </cell>
          <cell r="K410" t="str">
            <v>DIURNO</v>
          </cell>
          <cell r="L410" t="str">
            <v>JÉSSICA</v>
          </cell>
          <cell r="M410" t="str">
            <v>NÃO</v>
          </cell>
          <cell r="N410" t="str">
            <v>NÃO</v>
          </cell>
        </row>
        <row r="411">
          <cell r="A411" t="str">
            <v>OXX1097153</v>
          </cell>
          <cell r="B411" t="str">
            <v>OXX</v>
          </cell>
          <cell r="C411">
            <v>1097153</v>
          </cell>
          <cell r="D411">
            <v>45153</v>
          </cell>
          <cell r="E411" t="str">
            <v>RUA BRENTANO , 289</v>
          </cell>
          <cell r="F411" t="str">
            <v>ALTO DA LAPA - BRATYS</v>
          </cell>
          <cell r="G411" t="str">
            <v>SÃO PAULO</v>
          </cell>
          <cell r="H411" t="str">
            <v>SP SUL X</v>
          </cell>
          <cell r="I411" t="str">
            <v>P</v>
          </cell>
          <cell r="J411">
            <v>3</v>
          </cell>
          <cell r="K411" t="str">
            <v>DIURNO</v>
          </cell>
          <cell r="L411" t="str">
            <v>FLAVIA</v>
          </cell>
          <cell r="M411" t="str">
            <v>NÃO</v>
          </cell>
          <cell r="N411" t="str">
            <v>NÃO</v>
          </cell>
        </row>
        <row r="412">
          <cell r="A412" t="str">
            <v>OXX1098909</v>
          </cell>
          <cell r="B412" t="str">
            <v>OXX</v>
          </cell>
          <cell r="C412">
            <v>1098909</v>
          </cell>
          <cell r="D412">
            <v>45153</v>
          </cell>
          <cell r="E412" t="str">
            <v>RUA ALEXANDRE MARCONDES FILHO , 115</v>
          </cell>
          <cell r="F412" t="str">
            <v>VILA SÃO JOÃO - CONTINENTAL</v>
          </cell>
          <cell r="G412" t="str">
            <v>SÃO BERNARDO DO CAMPO</v>
          </cell>
          <cell r="H412" t="str">
            <v>SP SUL X</v>
          </cell>
          <cell r="I412" t="str">
            <v>P</v>
          </cell>
          <cell r="J412">
            <v>3</v>
          </cell>
          <cell r="K412" t="str">
            <v>DIURNO</v>
          </cell>
          <cell r="L412" t="str">
            <v>ANDRÉ</v>
          </cell>
          <cell r="M412" t="str">
            <v>UBER</v>
          </cell>
          <cell r="N412">
            <v>0.3125</v>
          </cell>
        </row>
        <row r="413">
          <cell r="A413" t="str">
            <v>OXX1100387</v>
          </cell>
          <cell r="B413" t="str">
            <v>OXX</v>
          </cell>
          <cell r="C413">
            <v>1100387</v>
          </cell>
          <cell r="D413">
            <v>45153</v>
          </cell>
          <cell r="E413" t="str">
            <v>RUA CUBATÃO , 446</v>
          </cell>
          <cell r="F413" t="str">
            <v>VILA MARIANA - CUBALHAL</v>
          </cell>
          <cell r="G413" t="str">
            <v>SÃO PAULO</v>
          </cell>
          <cell r="H413" t="str">
            <v>SP SUL X</v>
          </cell>
          <cell r="I413" t="str">
            <v>P</v>
          </cell>
          <cell r="J413">
            <v>3</v>
          </cell>
          <cell r="K413" t="str">
            <v>DIURNO</v>
          </cell>
          <cell r="L413" t="str">
            <v>RAYANE</v>
          </cell>
          <cell r="M413" t="str">
            <v>NÃO</v>
          </cell>
          <cell r="N413" t="str">
            <v>NÃO</v>
          </cell>
        </row>
        <row r="414">
          <cell r="A414" t="str">
            <v/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 t="str">
            <v>Total</v>
          </cell>
          <cell r="J414">
            <v>447</v>
          </cell>
          <cell r="K414">
            <v>143</v>
          </cell>
          <cell r="L414">
            <v>0</v>
          </cell>
          <cell r="M414">
            <v>0</v>
          </cell>
          <cell r="N414">
            <v>0</v>
          </cell>
        </row>
        <row r="415">
          <cell r="A415" t="str">
            <v/>
          </cell>
          <cell r="B415">
            <v>0</v>
          </cell>
          <cell r="C415">
            <v>0</v>
          </cell>
          <cell r="D415">
            <v>0</v>
          </cell>
          <cell r="E415">
            <v>45154</v>
          </cell>
          <cell r="F415" t="str">
            <v>QUARTA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FSJ1060</v>
          </cell>
          <cell r="B416" t="str">
            <v>FSJ</v>
          </cell>
          <cell r="C416">
            <v>1060</v>
          </cell>
          <cell r="D416">
            <v>45154</v>
          </cell>
          <cell r="E416" t="str">
            <v>AV : MAUÁ , 1900</v>
          </cell>
          <cell r="F416" t="str">
            <v>MORRO DO ESPELHO - LEO 17</v>
          </cell>
          <cell r="G416" t="str">
            <v>SÃO LEOPOLDO</v>
          </cell>
          <cell r="H416" t="str">
            <v>PORTO ALEGRE</v>
          </cell>
          <cell r="I416" t="str">
            <v>T</v>
          </cell>
          <cell r="J416">
            <v>7</v>
          </cell>
          <cell r="K416">
            <v>0</v>
          </cell>
          <cell r="L416" t="str">
            <v>PATRINE</v>
          </cell>
          <cell r="M416" t="str">
            <v>NÃO</v>
          </cell>
          <cell r="N416" t="str">
            <v>NÃO</v>
          </cell>
        </row>
        <row r="417">
          <cell r="A417" t="str">
            <v>SAM4947</v>
          </cell>
          <cell r="B417" t="str">
            <v>SAM</v>
          </cell>
          <cell r="C417">
            <v>4947</v>
          </cell>
          <cell r="D417">
            <v>45154</v>
          </cell>
          <cell r="E417" t="str">
            <v>AV : SERTÓRIO , 6600 - ANEXO A</v>
          </cell>
          <cell r="F417" t="str">
            <v>SARANDI - NORTE</v>
          </cell>
          <cell r="G417" t="str">
            <v>PORTO ALEGRE</v>
          </cell>
          <cell r="H417" t="str">
            <v>PORTO ALEGRE</v>
          </cell>
          <cell r="I417" t="str">
            <v>T</v>
          </cell>
          <cell r="J417">
            <v>40</v>
          </cell>
          <cell r="K417" t="str">
            <v>CA 02 DIAS</v>
          </cell>
          <cell r="L417" t="str">
            <v>PAVAN</v>
          </cell>
          <cell r="M417" t="str">
            <v>NÃO</v>
          </cell>
          <cell r="N417" t="str">
            <v>NÃO</v>
          </cell>
        </row>
        <row r="418">
          <cell r="A418" t="str">
            <v>PEN778</v>
          </cell>
          <cell r="B418" t="str">
            <v>PEN</v>
          </cell>
          <cell r="C418">
            <v>778</v>
          </cell>
          <cell r="D418">
            <v>45154</v>
          </cell>
          <cell r="E418" t="str">
            <v>RUA XV DE NOVEMBRO , 352</v>
          </cell>
          <cell r="F418" t="str">
            <v>CENTRO</v>
          </cell>
          <cell r="G418" t="str">
            <v>PARANAGUÁ</v>
          </cell>
          <cell r="H418" t="str">
            <v>PR CURITIBA</v>
          </cell>
          <cell r="I418" t="str">
            <v>T</v>
          </cell>
          <cell r="J418">
            <v>15</v>
          </cell>
          <cell r="K418">
            <v>0</v>
          </cell>
          <cell r="L418" t="str">
            <v>HENRIQUE</v>
          </cell>
          <cell r="M418" t="str">
            <v>01 VAN</v>
          </cell>
          <cell r="N418">
            <v>0.66666666666666663</v>
          </cell>
        </row>
        <row r="419">
          <cell r="A419" t="str">
            <v>GUY1</v>
          </cell>
          <cell r="B419" t="str">
            <v>GUY</v>
          </cell>
          <cell r="C419">
            <v>1</v>
          </cell>
          <cell r="D419">
            <v>45154</v>
          </cell>
          <cell r="E419" t="str">
            <v>RUA LUÍS SPIGOLON , 2459</v>
          </cell>
          <cell r="F419" t="str">
            <v>CENTRO - MATRIZ</v>
          </cell>
          <cell r="G419" t="str">
            <v>PARANAVAÍ</v>
          </cell>
          <cell r="H419" t="str">
            <v>PR LONDRINA</v>
          </cell>
          <cell r="I419" t="str">
            <v>T</v>
          </cell>
          <cell r="J419">
            <v>26</v>
          </cell>
          <cell r="K419">
            <v>0</v>
          </cell>
          <cell r="L419" t="str">
            <v>MARIANA/ALINE</v>
          </cell>
          <cell r="M419" t="str">
            <v>02 VANS</v>
          </cell>
          <cell r="N419">
            <v>0.64583333333333337</v>
          </cell>
        </row>
        <row r="420">
          <cell r="A420" t="str">
            <v>HORF006</v>
          </cell>
          <cell r="B420" t="str">
            <v>HOR</v>
          </cell>
          <cell r="C420" t="str">
            <v>F006</v>
          </cell>
          <cell r="D420">
            <v>45154</v>
          </cell>
          <cell r="E420" t="str">
            <v>RUA CONDE DE BONFIM , 199</v>
          </cell>
          <cell r="F420" t="str">
            <v>TIJUCA</v>
          </cell>
          <cell r="G420" t="str">
            <v>RIO DE JANEIRO</v>
          </cell>
          <cell r="H420" t="str">
            <v>RJ</v>
          </cell>
          <cell r="I420" t="str">
            <v>T</v>
          </cell>
          <cell r="J420">
            <v>19</v>
          </cell>
          <cell r="K420">
            <v>0</v>
          </cell>
          <cell r="L420" t="str">
            <v>RAFAEL</v>
          </cell>
          <cell r="M420" t="str">
            <v>NÃO</v>
          </cell>
          <cell r="N420" t="str">
            <v>NÃO</v>
          </cell>
        </row>
        <row r="421">
          <cell r="A421" t="str">
            <v>HORF021</v>
          </cell>
          <cell r="B421" t="str">
            <v>HOR</v>
          </cell>
          <cell r="C421" t="str">
            <v>F021</v>
          </cell>
          <cell r="D421">
            <v>45154</v>
          </cell>
          <cell r="E421" t="str">
            <v>RUA URUGUAI , 213</v>
          </cell>
          <cell r="F421" t="str">
            <v>TIJUCA - URUGUAI</v>
          </cell>
          <cell r="G421" t="str">
            <v>RIO DE JANEIRO</v>
          </cell>
          <cell r="H421" t="str">
            <v>RJ</v>
          </cell>
          <cell r="I421" t="str">
            <v>T</v>
          </cell>
          <cell r="J421">
            <v>20</v>
          </cell>
          <cell r="K421">
            <v>0</v>
          </cell>
          <cell r="L421" t="str">
            <v>ANTÔNIO</v>
          </cell>
          <cell r="M421" t="str">
            <v>NÃO</v>
          </cell>
          <cell r="N421" t="str">
            <v>NÃO</v>
          </cell>
        </row>
        <row r="422">
          <cell r="A422" t="str">
            <v>HORF048</v>
          </cell>
          <cell r="B422" t="str">
            <v>HOR</v>
          </cell>
          <cell r="C422" t="str">
            <v>F048</v>
          </cell>
          <cell r="D422">
            <v>45154</v>
          </cell>
          <cell r="E422" t="str">
            <v>RUA CONDE DE BONFIM , 648</v>
          </cell>
          <cell r="F422" t="str">
            <v>TIJUCA - CONDE II - LEVE</v>
          </cell>
          <cell r="G422" t="str">
            <v>RIO DE JANEIRO</v>
          </cell>
          <cell r="H422" t="str">
            <v>RJ</v>
          </cell>
          <cell r="I422" t="str">
            <v>T</v>
          </cell>
          <cell r="J422">
            <v>7</v>
          </cell>
          <cell r="K422">
            <v>0</v>
          </cell>
          <cell r="L422" t="str">
            <v>RAFAEL</v>
          </cell>
          <cell r="M422" t="str">
            <v>NÃO</v>
          </cell>
          <cell r="N422" t="str">
            <v>NÃO</v>
          </cell>
        </row>
        <row r="423">
          <cell r="A423" t="str">
            <v>HORF053</v>
          </cell>
          <cell r="B423" t="str">
            <v>HOR</v>
          </cell>
          <cell r="C423" t="str">
            <v>F053</v>
          </cell>
          <cell r="D423">
            <v>45154</v>
          </cell>
          <cell r="E423" t="str">
            <v>RUA CONDE DE BONFIM , 99</v>
          </cell>
          <cell r="F423" t="str">
            <v>TIJUCA - CONDE 99 - LEVE</v>
          </cell>
          <cell r="G423" t="str">
            <v>RIO DE JANEIRO</v>
          </cell>
          <cell r="H423" t="str">
            <v>RJ</v>
          </cell>
          <cell r="I423" t="str">
            <v>T</v>
          </cell>
          <cell r="J423">
            <v>7</v>
          </cell>
          <cell r="K423">
            <v>0</v>
          </cell>
          <cell r="L423" t="str">
            <v>MICHELE</v>
          </cell>
          <cell r="M423" t="str">
            <v>NÃO</v>
          </cell>
          <cell r="N423" t="str">
            <v>NÃO</v>
          </cell>
        </row>
        <row r="424">
          <cell r="A424" t="str">
            <v>JAU16</v>
          </cell>
          <cell r="B424" t="str">
            <v>JAU</v>
          </cell>
          <cell r="C424">
            <v>16</v>
          </cell>
          <cell r="D424">
            <v>45154</v>
          </cell>
          <cell r="E424" t="str">
            <v>RUA HUMAITÁ , 1480</v>
          </cell>
          <cell r="F424" t="str">
            <v>CENTRO</v>
          </cell>
          <cell r="G424" t="str">
            <v>ARARAQUARA</v>
          </cell>
          <cell r="H424" t="str">
            <v>SP INT BAURU</v>
          </cell>
          <cell r="I424" t="str">
            <v>T</v>
          </cell>
          <cell r="J424">
            <v>24</v>
          </cell>
          <cell r="K424">
            <v>0</v>
          </cell>
          <cell r="L424" t="str">
            <v>ROSÂNGELA</v>
          </cell>
          <cell r="M424" t="str">
            <v>02 VANS</v>
          </cell>
          <cell r="N424">
            <v>0.64583333333333337</v>
          </cell>
        </row>
        <row r="425">
          <cell r="A425" t="str">
            <v>PEN695</v>
          </cell>
          <cell r="B425" t="str">
            <v>PEN</v>
          </cell>
          <cell r="C425">
            <v>695</v>
          </cell>
          <cell r="D425">
            <v>45154</v>
          </cell>
          <cell r="E425" t="str">
            <v>AV : ALFREDO ANTÔNIO DE OLIVEIRA , 2077</v>
          </cell>
          <cell r="F425" t="str">
            <v>SHOPPING CIDADE NORTE</v>
          </cell>
          <cell r="G425" t="str">
            <v>SÃO JOSÉ DO RIO PRETO</v>
          </cell>
          <cell r="H425" t="str">
            <v>SP INT BAURU</v>
          </cell>
          <cell r="I425" t="str">
            <v>T</v>
          </cell>
          <cell r="J425">
            <v>8</v>
          </cell>
          <cell r="K425">
            <v>0</v>
          </cell>
          <cell r="L425" t="str">
            <v>VICTOR</v>
          </cell>
          <cell r="M425" t="str">
            <v>01 VAN</v>
          </cell>
          <cell r="N425">
            <v>0.66666666666666663</v>
          </cell>
        </row>
        <row r="426">
          <cell r="A426" t="str">
            <v>OXX1086082</v>
          </cell>
          <cell r="B426" t="str">
            <v>OXX</v>
          </cell>
          <cell r="C426">
            <v>1086082</v>
          </cell>
          <cell r="D426">
            <v>45154</v>
          </cell>
          <cell r="E426" t="str">
            <v>AV : FRANCISCO GLICÉRIO , 1419</v>
          </cell>
          <cell r="F426" t="str">
            <v>CENTRO - VARIEDADES</v>
          </cell>
          <cell r="G426" t="str">
            <v>CAMPINAS</v>
          </cell>
          <cell r="H426" t="str">
            <v>SP INT CPN</v>
          </cell>
          <cell r="I426" t="str">
            <v>P</v>
          </cell>
          <cell r="J426">
            <v>3</v>
          </cell>
          <cell r="K426" t="str">
            <v>DIURNO</v>
          </cell>
          <cell r="L426" t="str">
            <v>THALIA</v>
          </cell>
          <cell r="M426" t="str">
            <v>NÃO</v>
          </cell>
          <cell r="N426" t="str">
            <v>NÃO</v>
          </cell>
        </row>
        <row r="427">
          <cell r="A427" t="str">
            <v>OXX1087097</v>
          </cell>
          <cell r="B427" t="str">
            <v>OXX</v>
          </cell>
          <cell r="C427">
            <v>1087097</v>
          </cell>
          <cell r="D427">
            <v>45154</v>
          </cell>
          <cell r="E427" t="str">
            <v>RUA MARIA MONTEIRO , 680</v>
          </cell>
          <cell r="F427" t="str">
            <v>CAMBUÍ - IDIOMAS</v>
          </cell>
          <cell r="G427" t="str">
            <v>CAMPINAS</v>
          </cell>
          <cell r="H427" t="str">
            <v>SP INT CPN</v>
          </cell>
          <cell r="I427" t="str">
            <v>P</v>
          </cell>
          <cell r="J427">
            <v>3</v>
          </cell>
          <cell r="K427" t="str">
            <v>DIURNO</v>
          </cell>
          <cell r="L427" t="str">
            <v>LETÍCIA/EVA</v>
          </cell>
          <cell r="M427" t="str">
            <v>NÃO</v>
          </cell>
          <cell r="N427" t="str">
            <v>NÃO</v>
          </cell>
        </row>
        <row r="428">
          <cell r="A428" t="str">
            <v>OXX1090712</v>
          </cell>
          <cell r="B428" t="str">
            <v>OXX</v>
          </cell>
          <cell r="C428">
            <v>1090712</v>
          </cell>
          <cell r="D428">
            <v>45154</v>
          </cell>
          <cell r="E428" t="str">
            <v>AV : PROFª ANA MARIA SILVESTRE ADADE , 607</v>
          </cell>
          <cell r="F428" t="str">
            <v>PQ. DAS UNIVERSIDADES - PUC</v>
          </cell>
          <cell r="G428" t="str">
            <v>CAMPINAS</v>
          </cell>
          <cell r="H428" t="str">
            <v>SP INT CPN</v>
          </cell>
          <cell r="I428" t="str">
            <v>P</v>
          </cell>
          <cell r="J428">
            <v>3</v>
          </cell>
          <cell r="K428" t="str">
            <v>DIURNO</v>
          </cell>
          <cell r="L428" t="str">
            <v>LEONARDO</v>
          </cell>
          <cell r="M428" t="str">
            <v>NÃO</v>
          </cell>
          <cell r="N428" t="str">
            <v>NÃO</v>
          </cell>
        </row>
        <row r="429">
          <cell r="A429" t="str">
            <v>DSP801</v>
          </cell>
          <cell r="B429" t="str">
            <v>DSP</v>
          </cell>
          <cell r="C429">
            <v>801</v>
          </cell>
          <cell r="D429">
            <v>45154</v>
          </cell>
          <cell r="E429" t="str">
            <v>RUA JOAQUIM BERNARDES BORGES , 510 / 524</v>
          </cell>
          <cell r="F429" t="str">
            <v>CENTRO - 24h</v>
          </cell>
          <cell r="G429" t="str">
            <v>ITU</v>
          </cell>
          <cell r="H429" t="str">
            <v>SP INT LIMEIRA</v>
          </cell>
          <cell r="I429" t="str">
            <v>T</v>
          </cell>
          <cell r="J429">
            <v>15</v>
          </cell>
          <cell r="K429">
            <v>0</v>
          </cell>
          <cell r="L429" t="str">
            <v>GUSTAVO</v>
          </cell>
          <cell r="M429" t="str">
            <v>01 VAN</v>
          </cell>
          <cell r="N429">
            <v>0.75</v>
          </cell>
        </row>
        <row r="430">
          <cell r="A430" t="str">
            <v>DSP2271</v>
          </cell>
          <cell r="B430" t="str">
            <v>DSP</v>
          </cell>
          <cell r="C430">
            <v>2271</v>
          </cell>
          <cell r="D430">
            <v>45154</v>
          </cell>
          <cell r="E430" t="str">
            <v>AV : PASCHOAL ARDITO , 946</v>
          </cell>
          <cell r="F430" t="str">
            <v>SÃO VITO</v>
          </cell>
          <cell r="G430" t="str">
            <v>AMERICANA</v>
          </cell>
          <cell r="H430" t="str">
            <v>SP INT LIMEIRA</v>
          </cell>
          <cell r="I430" t="str">
            <v>T</v>
          </cell>
          <cell r="J430">
            <v>13</v>
          </cell>
          <cell r="K430">
            <v>0</v>
          </cell>
          <cell r="L430" t="str">
            <v>EMERSON</v>
          </cell>
          <cell r="M430" t="str">
            <v>01 VAN</v>
          </cell>
          <cell r="N430">
            <v>0.79166666666666663</v>
          </cell>
        </row>
        <row r="431">
          <cell r="A431" t="str">
            <v>PEN721</v>
          </cell>
          <cell r="B431" t="str">
            <v>PEN</v>
          </cell>
          <cell r="C431">
            <v>721</v>
          </cell>
          <cell r="D431">
            <v>45154</v>
          </cell>
          <cell r="E431" t="str">
            <v xml:space="preserve">AV : ANDRÔMEDA , 793 </v>
          </cell>
          <cell r="F431" t="str">
            <v>JD. SATÉLITE</v>
          </cell>
          <cell r="G431" t="str">
            <v>SÃO JOSÉ DOS CAMPOS</v>
          </cell>
          <cell r="H431" t="str">
            <v>SP INT SJC</v>
          </cell>
          <cell r="I431" t="str">
            <v>T</v>
          </cell>
          <cell r="J431">
            <v>5</v>
          </cell>
          <cell r="K431">
            <v>0</v>
          </cell>
          <cell r="L431" t="str">
            <v>JAÍNE/FELIPE/BRUNA</v>
          </cell>
          <cell r="M431" t="str">
            <v>01 CARRO</v>
          </cell>
          <cell r="N431">
            <v>0.6875</v>
          </cell>
        </row>
        <row r="432">
          <cell r="A432" t="str">
            <v>RODR050</v>
          </cell>
          <cell r="B432" t="str">
            <v>ROD</v>
          </cell>
          <cell r="C432" t="str">
            <v>R050</v>
          </cell>
          <cell r="D432">
            <v>45154</v>
          </cell>
          <cell r="E432" t="str">
            <v>RUA CHIARA LUBICH , 67.501</v>
          </cell>
          <cell r="F432" t="str">
            <v>PQ.ELOY CHAVES</v>
          </cell>
          <cell r="G432" t="str">
            <v>JUNDIAÍ III</v>
          </cell>
          <cell r="H432" t="str">
            <v>SP INT SJC</v>
          </cell>
          <cell r="I432" t="str">
            <v>APOIO</v>
          </cell>
          <cell r="J432">
            <v>15</v>
          </cell>
          <cell r="K432">
            <v>0</v>
          </cell>
          <cell r="L432" t="str">
            <v>MARCELO</v>
          </cell>
          <cell r="M432" t="str">
            <v>01 VAN</v>
          </cell>
          <cell r="N432">
            <v>0.75</v>
          </cell>
        </row>
        <row r="433">
          <cell r="A433" t="str">
            <v>APC128</v>
          </cell>
          <cell r="B433" t="str">
            <v>APC</v>
          </cell>
          <cell r="C433">
            <v>128</v>
          </cell>
          <cell r="D433">
            <v>45154</v>
          </cell>
          <cell r="E433" t="str">
            <v>AV : BARÃO DE MAUÁ , 92</v>
          </cell>
          <cell r="F433" t="str">
            <v>PQ. ESTRELA</v>
          </cell>
          <cell r="G433" t="str">
            <v>GUARULHOS</v>
          </cell>
          <cell r="H433" t="str">
            <v>SP LESTE</v>
          </cell>
          <cell r="I433" t="str">
            <v>F</v>
          </cell>
          <cell r="J433">
            <v>3</v>
          </cell>
          <cell r="K433">
            <v>0</v>
          </cell>
          <cell r="L433" t="str">
            <v>CHRIS</v>
          </cell>
          <cell r="M433">
            <v>0</v>
          </cell>
          <cell r="N433">
            <v>0</v>
          </cell>
        </row>
        <row r="434">
          <cell r="A434" t="str">
            <v>CFO106</v>
          </cell>
          <cell r="B434" t="str">
            <v>CFO</v>
          </cell>
          <cell r="C434">
            <v>106</v>
          </cell>
          <cell r="D434">
            <v>45154</v>
          </cell>
          <cell r="E434" t="str">
            <v>AV : MORVAN DIAS FIGUEIREDO , 3177</v>
          </cell>
          <cell r="F434" t="str">
            <v>VILA MARIA - TIETÊ</v>
          </cell>
          <cell r="G434" t="str">
            <v>SÃO PAULO</v>
          </cell>
          <cell r="H434" t="str">
            <v>SP LESTE</v>
          </cell>
          <cell r="I434" t="str">
            <v>PA</v>
          </cell>
          <cell r="J434">
            <v>32</v>
          </cell>
          <cell r="K434">
            <v>0</v>
          </cell>
          <cell r="L434" t="str">
            <v>LUANA/MARCELO/KAIQUE</v>
          </cell>
          <cell r="M434" t="str">
            <v>NÃO</v>
          </cell>
          <cell r="N434" t="str">
            <v>NÃO</v>
          </cell>
        </row>
        <row r="435">
          <cell r="A435" t="str">
            <v>CFX548</v>
          </cell>
          <cell r="B435" t="str">
            <v>CFX</v>
          </cell>
          <cell r="C435">
            <v>548</v>
          </cell>
          <cell r="D435">
            <v>45154</v>
          </cell>
          <cell r="E435" t="str">
            <v>ALAMEDA RIO NEGRO , 967</v>
          </cell>
          <cell r="F435" t="str">
            <v>ALPHAVILLE INDUSTRIAL - LOJA 02</v>
          </cell>
          <cell r="G435" t="str">
            <v>BARUERI</v>
          </cell>
          <cell r="H435" t="str">
            <v>SP LESTE</v>
          </cell>
          <cell r="I435" t="str">
            <v>T</v>
          </cell>
          <cell r="J435">
            <v>5</v>
          </cell>
          <cell r="K435">
            <v>0</v>
          </cell>
          <cell r="L435" t="str">
            <v>CARINA</v>
          </cell>
          <cell r="M435" t="str">
            <v>UBER</v>
          </cell>
          <cell r="N435">
            <v>0.6875</v>
          </cell>
        </row>
        <row r="436">
          <cell r="A436" t="str">
            <v>CFX657</v>
          </cell>
          <cell r="B436" t="str">
            <v>CFX</v>
          </cell>
          <cell r="C436">
            <v>657</v>
          </cell>
          <cell r="D436">
            <v>45154</v>
          </cell>
          <cell r="E436" t="str">
            <v>AV DR. ANTÔNIO MARIA LAET , S/Nº</v>
          </cell>
          <cell r="F436" t="str">
            <v>SHOPPING METRÔ TUCURUVI</v>
          </cell>
          <cell r="G436" t="str">
            <v>SÃO PAULO</v>
          </cell>
          <cell r="H436" t="str">
            <v>SP LESTE</v>
          </cell>
          <cell r="I436" t="str">
            <v>T</v>
          </cell>
          <cell r="J436">
            <v>6</v>
          </cell>
          <cell r="K436">
            <v>0</v>
          </cell>
          <cell r="L436" t="str">
            <v>JÉSSICA</v>
          </cell>
          <cell r="M436" t="str">
            <v>NÃO</v>
          </cell>
          <cell r="N436" t="str">
            <v>NÃO</v>
          </cell>
        </row>
        <row r="437">
          <cell r="A437" t="str">
            <v>GIG907</v>
          </cell>
          <cell r="B437" t="str">
            <v>GIG</v>
          </cell>
          <cell r="C437">
            <v>907</v>
          </cell>
          <cell r="D437">
            <v>45154</v>
          </cell>
          <cell r="E437" t="str">
            <v>RUA BÁRBARA HIPOLITO CAPRIOTTI , 401</v>
          </cell>
          <cell r="F437" t="str">
            <v>VILA IZA</v>
          </cell>
          <cell r="G437" t="str">
            <v>CARAPICUÍBA</v>
          </cell>
          <cell r="H437" t="str">
            <v>SP LESTE</v>
          </cell>
          <cell r="I437" t="str">
            <v>CA</v>
          </cell>
          <cell r="J437">
            <v>25</v>
          </cell>
          <cell r="K437">
            <v>0</v>
          </cell>
          <cell r="L437" t="str">
            <v>PATRÍCIA</v>
          </cell>
          <cell r="M437" t="str">
            <v>02 VANS</v>
          </cell>
          <cell r="N437">
            <v>0.70833333333333337</v>
          </cell>
        </row>
        <row r="438">
          <cell r="A438" t="str">
            <v>MAM204</v>
          </cell>
          <cell r="B438" t="str">
            <v>MAM</v>
          </cell>
          <cell r="C438">
            <v>204</v>
          </cell>
          <cell r="D438">
            <v>45154</v>
          </cell>
          <cell r="E438" t="str">
            <v>RUA DEP. LACERDA FRANCO , 553</v>
          </cell>
          <cell r="F438" t="str">
            <v>VILA MADALENA</v>
          </cell>
          <cell r="G438" t="str">
            <v>SÃO PAULO</v>
          </cell>
          <cell r="H438" t="str">
            <v>SP LESTE</v>
          </cell>
          <cell r="I438" t="str">
            <v>APOIO</v>
          </cell>
          <cell r="J438">
            <v>15</v>
          </cell>
          <cell r="K438">
            <v>0</v>
          </cell>
          <cell r="L438" t="str">
            <v>LUÍS</v>
          </cell>
          <cell r="M438" t="str">
            <v>NÃO</v>
          </cell>
          <cell r="N438" t="str">
            <v>NÃO</v>
          </cell>
        </row>
        <row r="439">
          <cell r="A439" t="str">
            <v>PMO12</v>
          </cell>
          <cell r="B439" t="str">
            <v>PMO</v>
          </cell>
          <cell r="C439">
            <v>12</v>
          </cell>
          <cell r="D439">
            <v>45154</v>
          </cell>
          <cell r="E439" t="str">
            <v>RUA TREZE DE MAIO , 480/500</v>
          </cell>
          <cell r="F439" t="str">
            <v>VILA GALVÃO 1</v>
          </cell>
          <cell r="G439" t="str">
            <v>GUARULHOS</v>
          </cell>
          <cell r="H439" t="str">
            <v>SP LESTE</v>
          </cell>
          <cell r="I439" t="str">
            <v>T</v>
          </cell>
          <cell r="J439">
            <v>6</v>
          </cell>
          <cell r="K439">
            <v>0</v>
          </cell>
          <cell r="L439" t="str">
            <v>TAMIRES</v>
          </cell>
          <cell r="M439" t="str">
            <v>UBER</v>
          </cell>
          <cell r="N439">
            <v>0.79166666666666663</v>
          </cell>
        </row>
        <row r="440">
          <cell r="A440" t="str">
            <v>RODR002</v>
          </cell>
          <cell r="B440" t="str">
            <v>ROD</v>
          </cell>
          <cell r="C440" t="str">
            <v>R002</v>
          </cell>
          <cell r="D440">
            <v>45154</v>
          </cell>
          <cell r="E440" t="str">
            <v>AV : INAJAR DE SOUZA , 60 </v>
          </cell>
          <cell r="F440" t="str">
            <v>FREGUESIA DO Ó</v>
          </cell>
          <cell r="G440" t="str">
            <v>SÃO PAULO</v>
          </cell>
          <cell r="H440" t="str">
            <v>SP LESTE</v>
          </cell>
          <cell r="I440" t="str">
            <v>PP</v>
          </cell>
          <cell r="J440">
            <v>12</v>
          </cell>
          <cell r="K440">
            <v>0</v>
          </cell>
          <cell r="L440" t="str">
            <v>ELISABETE</v>
          </cell>
          <cell r="M440" t="str">
            <v>NÃO</v>
          </cell>
          <cell r="N440" t="str">
            <v>NÃO</v>
          </cell>
        </row>
        <row r="441">
          <cell r="A441" t="str">
            <v>OXX1089859</v>
          </cell>
          <cell r="B441" t="str">
            <v>OXX</v>
          </cell>
          <cell r="C441">
            <v>1089859</v>
          </cell>
          <cell r="D441">
            <v>45154</v>
          </cell>
          <cell r="E441" t="str">
            <v>RUA JOSÉ PAULINO , 592</v>
          </cell>
          <cell r="F441" t="str">
            <v>BOM RETIRO</v>
          </cell>
          <cell r="G441" t="str">
            <v>SÃO PAULO</v>
          </cell>
          <cell r="H441" t="str">
            <v>SP LESTE X</v>
          </cell>
          <cell r="I441" t="str">
            <v>P</v>
          </cell>
          <cell r="J441">
            <v>3</v>
          </cell>
          <cell r="K441" t="str">
            <v>DIURNO</v>
          </cell>
          <cell r="L441" t="str">
            <v>GAMA/JOYCE</v>
          </cell>
          <cell r="M441" t="str">
            <v>NÃO</v>
          </cell>
          <cell r="N441" t="str">
            <v>NÃO</v>
          </cell>
        </row>
        <row r="442">
          <cell r="A442" t="str">
            <v>OXX1093035</v>
          </cell>
          <cell r="B442" t="str">
            <v>OXX</v>
          </cell>
          <cell r="C442">
            <v>1093035</v>
          </cell>
          <cell r="D442">
            <v>45154</v>
          </cell>
          <cell r="E442" t="str">
            <v>RUA ITAPEVA , 301</v>
          </cell>
          <cell r="F442" t="str">
            <v>BELA VISTA - ITAPEVA</v>
          </cell>
          <cell r="G442" t="str">
            <v>SÃO PAULO</v>
          </cell>
          <cell r="H442" t="str">
            <v>SP LESTE X</v>
          </cell>
          <cell r="I442" t="str">
            <v>P</v>
          </cell>
          <cell r="J442">
            <v>3</v>
          </cell>
          <cell r="K442" t="str">
            <v>DIURNO</v>
          </cell>
          <cell r="L442" t="str">
            <v>CÁSSIA</v>
          </cell>
          <cell r="M442" t="str">
            <v>NÃO</v>
          </cell>
          <cell r="N442" t="str">
            <v>NÃO</v>
          </cell>
        </row>
        <row r="443">
          <cell r="A443" t="str">
            <v>OXX1099162</v>
          </cell>
          <cell r="B443" t="str">
            <v>OXX</v>
          </cell>
          <cell r="C443">
            <v>1099162</v>
          </cell>
          <cell r="D443">
            <v>45154</v>
          </cell>
          <cell r="E443" t="str">
            <v>AV : JOSÉ MARIA FERNANDES , 366</v>
          </cell>
          <cell r="F443" t="str">
            <v>PQ. NOVO MUNDO</v>
          </cell>
          <cell r="G443" t="str">
            <v>SÃO PAULO</v>
          </cell>
          <cell r="H443" t="str">
            <v>SP LESTE X</v>
          </cell>
          <cell r="I443" t="str">
            <v>P</v>
          </cell>
          <cell r="J443">
            <v>3</v>
          </cell>
          <cell r="K443" t="str">
            <v>DIURNO</v>
          </cell>
          <cell r="L443" t="str">
            <v>LARISSA</v>
          </cell>
          <cell r="M443" t="str">
            <v>NÃO</v>
          </cell>
          <cell r="N443" t="str">
            <v>NÃO</v>
          </cell>
        </row>
        <row r="444">
          <cell r="A444" t="str">
            <v>OXX1099204</v>
          </cell>
          <cell r="B444" t="str">
            <v>OXX</v>
          </cell>
          <cell r="C444">
            <v>1099204</v>
          </cell>
          <cell r="D444">
            <v>45154</v>
          </cell>
          <cell r="E444" t="str">
            <v>RUA ALBERTO SAVOY , 269</v>
          </cell>
          <cell r="F444" t="str">
            <v>LAUZANE PAULISTA - SAVOY</v>
          </cell>
          <cell r="G444" t="str">
            <v>SÃO PAULO</v>
          </cell>
          <cell r="H444" t="str">
            <v>SP LESTE X</v>
          </cell>
          <cell r="I444" t="str">
            <v>P</v>
          </cell>
          <cell r="J444">
            <v>3</v>
          </cell>
          <cell r="K444" t="str">
            <v>DIURNO</v>
          </cell>
          <cell r="L444" t="str">
            <v>JOSÉ WELVYS</v>
          </cell>
          <cell r="M444" t="str">
            <v>NÃO</v>
          </cell>
          <cell r="N444" t="str">
            <v>NÃO</v>
          </cell>
        </row>
        <row r="445">
          <cell r="A445" t="str">
            <v>OXX1100162</v>
          </cell>
          <cell r="B445" t="str">
            <v>OXX</v>
          </cell>
          <cell r="C445">
            <v>1100162</v>
          </cell>
          <cell r="D445">
            <v>45154</v>
          </cell>
          <cell r="E445" t="str">
            <v>RUA SÃO CAETANO , 315</v>
          </cell>
          <cell r="F445" t="str">
            <v>LUZ - CAETANO</v>
          </cell>
          <cell r="G445" t="str">
            <v>SÃO PAULO</v>
          </cell>
          <cell r="H445" t="str">
            <v>SP LESTE X</v>
          </cell>
          <cell r="I445" t="str">
            <v>P</v>
          </cell>
          <cell r="J445">
            <v>3</v>
          </cell>
          <cell r="K445" t="str">
            <v>DIURNO</v>
          </cell>
          <cell r="L445" t="str">
            <v>ANDERSON</v>
          </cell>
          <cell r="M445" t="str">
            <v>NÃO</v>
          </cell>
          <cell r="N445" t="str">
            <v>NÃO</v>
          </cell>
        </row>
        <row r="446">
          <cell r="A446" t="str">
            <v>OXX1100402</v>
          </cell>
          <cell r="B446" t="str">
            <v>OXX</v>
          </cell>
          <cell r="C446">
            <v>1100402</v>
          </cell>
          <cell r="D446">
            <v>45154</v>
          </cell>
          <cell r="E446" t="str">
            <v>ALAMEDA NOTHMANN , 591</v>
          </cell>
          <cell r="F446" t="str">
            <v>CAMPOS ELÍSEOS - VIVEIRO</v>
          </cell>
          <cell r="G446" t="str">
            <v>SÃO PAULO</v>
          </cell>
          <cell r="H446" t="str">
            <v>SP LESTE X</v>
          </cell>
          <cell r="I446" t="str">
            <v>P</v>
          </cell>
          <cell r="J446">
            <v>3</v>
          </cell>
          <cell r="K446" t="str">
            <v>DIURNO</v>
          </cell>
          <cell r="L446" t="str">
            <v>ARTHUR</v>
          </cell>
          <cell r="M446" t="str">
            <v>NÃO</v>
          </cell>
          <cell r="N446" t="str">
            <v>NÃO</v>
          </cell>
        </row>
        <row r="447">
          <cell r="A447" t="str">
            <v>HNTN018</v>
          </cell>
          <cell r="B447" t="str">
            <v>HNT</v>
          </cell>
          <cell r="C447" t="str">
            <v>N018</v>
          </cell>
          <cell r="D447">
            <v>45154</v>
          </cell>
          <cell r="E447" t="str">
            <v>AV : HÉLIO PELLEGRINO , 531 - ANEXO 801</v>
          </cell>
          <cell r="F447" t="str">
            <v>VILA NOVA CONCEIÇÃO</v>
          </cell>
          <cell r="G447" t="str">
            <v>SÃO PAULO</v>
          </cell>
          <cell r="H447" t="str">
            <v>SP SUL</v>
          </cell>
          <cell r="I447" t="str">
            <v>T</v>
          </cell>
          <cell r="J447">
            <v>15</v>
          </cell>
          <cell r="K447">
            <v>0</v>
          </cell>
          <cell r="L447" t="str">
            <v>ELAINE</v>
          </cell>
          <cell r="M447" t="str">
            <v>NÃO</v>
          </cell>
          <cell r="N447" t="str">
            <v>NÃO</v>
          </cell>
        </row>
        <row r="448">
          <cell r="A448" t="str">
            <v>MAM204</v>
          </cell>
          <cell r="B448" t="str">
            <v>MAM</v>
          </cell>
          <cell r="C448">
            <v>204</v>
          </cell>
          <cell r="D448">
            <v>45154</v>
          </cell>
          <cell r="E448" t="str">
            <v>RUA DEP. LACERDA FRANCO , 553</v>
          </cell>
          <cell r="F448" t="str">
            <v>VILA MADALENA</v>
          </cell>
          <cell r="G448" t="str">
            <v>SÃO PAULO</v>
          </cell>
          <cell r="H448" t="str">
            <v>SP SUL</v>
          </cell>
          <cell r="I448" t="str">
            <v>T</v>
          </cell>
          <cell r="J448">
            <v>25</v>
          </cell>
          <cell r="K448" t="str">
            <v>APOIO LESTE</v>
          </cell>
          <cell r="L448" t="str">
            <v>CAMILA</v>
          </cell>
          <cell r="M448" t="str">
            <v>NÃO</v>
          </cell>
          <cell r="N448" t="str">
            <v>NÃO</v>
          </cell>
        </row>
        <row r="449">
          <cell r="A449" t="str">
            <v>RODR050</v>
          </cell>
          <cell r="B449" t="str">
            <v>ROD</v>
          </cell>
          <cell r="C449" t="str">
            <v>R050</v>
          </cell>
          <cell r="D449">
            <v>45154</v>
          </cell>
          <cell r="E449" t="str">
            <v>RUA CHIARA LUBICH , 67.501</v>
          </cell>
          <cell r="F449" t="str">
            <v>PQ.ELOY CHAVES</v>
          </cell>
          <cell r="G449" t="str">
            <v>JUNDIAÍ III</v>
          </cell>
          <cell r="H449" t="str">
            <v>SP SUL</v>
          </cell>
          <cell r="I449" t="str">
            <v>CA</v>
          </cell>
          <cell r="J449">
            <v>14</v>
          </cell>
          <cell r="K449" t="str">
            <v>DIURNO</v>
          </cell>
          <cell r="L449" t="str">
            <v>CARLOS</v>
          </cell>
          <cell r="M449" t="str">
            <v>01 VAN</v>
          </cell>
          <cell r="N449">
            <v>0.25</v>
          </cell>
        </row>
        <row r="450">
          <cell r="A450" t="str">
            <v>RODR050</v>
          </cell>
          <cell r="B450" t="str">
            <v>ROD</v>
          </cell>
          <cell r="C450" t="str">
            <v>R050</v>
          </cell>
          <cell r="D450">
            <v>45154</v>
          </cell>
          <cell r="E450" t="str">
            <v>RUA CHIARA LUBICH , 67.501</v>
          </cell>
          <cell r="F450" t="str">
            <v>PQ.ELOY CHAVES</v>
          </cell>
          <cell r="G450" t="str">
            <v>JUNDIAÍ III</v>
          </cell>
          <cell r="H450" t="str">
            <v>SP SUL</v>
          </cell>
          <cell r="I450" t="str">
            <v>T</v>
          </cell>
          <cell r="J450">
            <v>24</v>
          </cell>
          <cell r="K450" t="str">
            <v>APOIO SJC</v>
          </cell>
          <cell r="L450" t="str">
            <v>VIANA/JUSCELINO</v>
          </cell>
          <cell r="M450" t="str">
            <v>02 VANS</v>
          </cell>
          <cell r="N450">
            <v>0.6875</v>
          </cell>
        </row>
        <row r="451">
          <cell r="A451" t="str">
            <v>STMS104</v>
          </cell>
          <cell r="B451" t="str">
            <v>STM</v>
          </cell>
          <cell r="C451" t="str">
            <v>S104</v>
          </cell>
          <cell r="D451">
            <v>45154</v>
          </cell>
          <cell r="E451" t="str">
            <v>RUA JOÃO RAMALHO , 813</v>
          </cell>
          <cell r="F451" t="str">
            <v>PERDIZES - SUMARÉ</v>
          </cell>
          <cell r="G451" t="str">
            <v>SÃO PAULO</v>
          </cell>
          <cell r="H451" t="str">
            <v>SP SUL</v>
          </cell>
          <cell r="I451" t="str">
            <v>T</v>
          </cell>
          <cell r="J451">
            <v>32</v>
          </cell>
          <cell r="K451">
            <v>0</v>
          </cell>
          <cell r="L451" t="str">
            <v>RUAN</v>
          </cell>
          <cell r="M451" t="str">
            <v>NÃO</v>
          </cell>
          <cell r="N451" t="str">
            <v>NÃO</v>
          </cell>
        </row>
        <row r="452">
          <cell r="A452" t="str">
            <v>OXX1093600</v>
          </cell>
          <cell r="B452" t="str">
            <v>OXX</v>
          </cell>
          <cell r="C452">
            <v>1093600</v>
          </cell>
          <cell r="D452">
            <v>45154</v>
          </cell>
          <cell r="E452" t="str">
            <v>AV : ANA BEATRIZ BIERREMBACH , 41</v>
          </cell>
          <cell r="F452" t="str">
            <v>VILA MIMOSA - GARDÊNIAS</v>
          </cell>
          <cell r="G452" t="str">
            <v>CAMPINAS</v>
          </cell>
          <cell r="H452" t="str">
            <v>SP SUL X</v>
          </cell>
          <cell r="I452" t="str">
            <v>P</v>
          </cell>
          <cell r="J452">
            <v>3</v>
          </cell>
          <cell r="K452" t="str">
            <v>DIURNO</v>
          </cell>
          <cell r="L452" t="str">
            <v>ANDRÉ</v>
          </cell>
          <cell r="M452" t="str">
            <v>01 CARRO ( EDSON )</v>
          </cell>
          <cell r="N452">
            <v>0.27083333333333331</v>
          </cell>
        </row>
        <row r="453">
          <cell r="A453" t="str">
            <v>OXX1094040</v>
          </cell>
          <cell r="B453" t="str">
            <v>OXX</v>
          </cell>
          <cell r="C453">
            <v>1094040</v>
          </cell>
          <cell r="D453">
            <v>45154</v>
          </cell>
          <cell r="E453" t="str">
            <v>AV : ADOLFO PINHEIRO , 1029</v>
          </cell>
          <cell r="F453" t="str">
            <v>SANTO AMARO - TORRE SUL</v>
          </cell>
          <cell r="G453" t="str">
            <v>SÃO PAULO</v>
          </cell>
          <cell r="H453" t="str">
            <v>SP SUL X</v>
          </cell>
          <cell r="I453" t="str">
            <v>P</v>
          </cell>
          <cell r="J453">
            <v>3</v>
          </cell>
          <cell r="K453" t="str">
            <v>DIURNO</v>
          </cell>
          <cell r="L453" t="str">
            <v>RAYANE</v>
          </cell>
          <cell r="M453" t="str">
            <v>NÃO</v>
          </cell>
          <cell r="N453" t="str">
            <v>NÃO</v>
          </cell>
        </row>
        <row r="454">
          <cell r="A454" t="str">
            <v>OXX1094380</v>
          </cell>
          <cell r="B454" t="str">
            <v>OXX</v>
          </cell>
          <cell r="C454">
            <v>1094380</v>
          </cell>
          <cell r="D454">
            <v>45154</v>
          </cell>
          <cell r="E454" t="str">
            <v xml:space="preserve">AV : NSA. SRA DAS MERCÊS , 600 </v>
          </cell>
          <cell r="F454" t="str">
            <v>VILA DAS MERCÊS</v>
          </cell>
          <cell r="G454" t="str">
            <v>SÃO PAULO</v>
          </cell>
          <cell r="H454" t="str">
            <v>SP SUL X</v>
          </cell>
          <cell r="I454" t="str">
            <v>P</v>
          </cell>
          <cell r="J454">
            <v>3</v>
          </cell>
          <cell r="K454" t="str">
            <v>LOGÍSTICA</v>
          </cell>
          <cell r="L454" t="str">
            <v>RAFAEL</v>
          </cell>
          <cell r="M454" t="str">
            <v>NÃO</v>
          </cell>
          <cell r="N454" t="str">
            <v>NÃO</v>
          </cell>
        </row>
        <row r="455">
          <cell r="A455" t="str">
            <v>OXX1095691</v>
          </cell>
          <cell r="B455" t="str">
            <v>OXX</v>
          </cell>
          <cell r="C455">
            <v>1095691</v>
          </cell>
          <cell r="D455">
            <v>45154</v>
          </cell>
          <cell r="E455" t="str">
            <v>TRAV. ANTÔNIO AUG. MONTEIRO DE BARROS NETO , 120</v>
          </cell>
          <cell r="F455" t="str">
            <v>REAL PARQUE - STUDIO</v>
          </cell>
          <cell r="G455" t="str">
            <v>SÃO PAULO</v>
          </cell>
          <cell r="H455" t="str">
            <v>SP SUL X</v>
          </cell>
          <cell r="I455" t="str">
            <v>P</v>
          </cell>
          <cell r="J455">
            <v>3</v>
          </cell>
          <cell r="K455" t="str">
            <v>DIURNO</v>
          </cell>
          <cell r="L455" t="str">
            <v>JÉSSICA</v>
          </cell>
          <cell r="M455" t="str">
            <v>NÃO</v>
          </cell>
          <cell r="N455" t="str">
            <v>NÃO</v>
          </cell>
        </row>
        <row r="456">
          <cell r="A456" t="str">
            <v>OXX1095710</v>
          </cell>
          <cell r="B456" t="str">
            <v>OXX</v>
          </cell>
          <cell r="C456">
            <v>1095710</v>
          </cell>
          <cell r="D456">
            <v>45154</v>
          </cell>
          <cell r="E456" t="str">
            <v>AV : NOSSA SENHORA DO SABARÁ , 2345</v>
          </cell>
          <cell r="F456" t="str">
            <v>INTERLAGOS - SABARÁ</v>
          </cell>
          <cell r="G456" t="str">
            <v>SÃO PAULO</v>
          </cell>
          <cell r="H456" t="str">
            <v>SP SUL X</v>
          </cell>
          <cell r="I456" t="str">
            <v>P</v>
          </cell>
          <cell r="J456">
            <v>3</v>
          </cell>
          <cell r="K456" t="str">
            <v>DIURNO</v>
          </cell>
          <cell r="L456" t="str">
            <v>CLAUDIA</v>
          </cell>
          <cell r="M456" t="str">
            <v>NÃO</v>
          </cell>
          <cell r="N456" t="str">
            <v>NÃO</v>
          </cell>
        </row>
        <row r="457">
          <cell r="A457" t="str">
            <v>OXX1097427</v>
          </cell>
          <cell r="B457" t="str">
            <v>OXX</v>
          </cell>
          <cell r="C457">
            <v>1097427</v>
          </cell>
          <cell r="D457">
            <v>45154</v>
          </cell>
          <cell r="E457" t="str">
            <v>ALAMEDA DOS NHAMBIQUARAS , 524</v>
          </cell>
          <cell r="F457" t="str">
            <v>INDIANÓPOLIS - MAEDA</v>
          </cell>
          <cell r="G457" t="str">
            <v>SÃO PAULO</v>
          </cell>
          <cell r="H457" t="str">
            <v>SP SUL X</v>
          </cell>
          <cell r="I457" t="str">
            <v>P</v>
          </cell>
          <cell r="J457">
            <v>3</v>
          </cell>
          <cell r="K457" t="str">
            <v>DIURNO</v>
          </cell>
          <cell r="L457" t="str">
            <v>NATHALIA</v>
          </cell>
          <cell r="M457" t="str">
            <v>NÃO</v>
          </cell>
          <cell r="N457" t="str">
            <v>NÃO</v>
          </cell>
        </row>
        <row r="458">
          <cell r="A458" t="str">
            <v>OXX1100743</v>
          </cell>
          <cell r="B458" t="str">
            <v>OXX</v>
          </cell>
          <cell r="C458">
            <v>1100743</v>
          </cell>
          <cell r="D458">
            <v>45154</v>
          </cell>
          <cell r="E458" t="str">
            <v>AV : IMPERATRIZ LEOPOLDINA , 265</v>
          </cell>
          <cell r="F458" t="str">
            <v>VILA LEOPOLDINA - TELHA</v>
          </cell>
          <cell r="G458" t="str">
            <v>SÃO PAULO</v>
          </cell>
          <cell r="H458" t="str">
            <v>SP SUL X</v>
          </cell>
          <cell r="I458" t="str">
            <v>P</v>
          </cell>
          <cell r="J458">
            <v>3</v>
          </cell>
          <cell r="K458" t="str">
            <v>DIURNO</v>
          </cell>
          <cell r="L458" t="str">
            <v>FLAVIA</v>
          </cell>
          <cell r="M458" t="str">
            <v>NÃO</v>
          </cell>
          <cell r="N458" t="str">
            <v>NÃO</v>
          </cell>
        </row>
        <row r="459">
          <cell r="A459" t="str">
            <v/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 t="str">
            <v>Total</v>
          </cell>
          <cell r="J459">
            <v>483</v>
          </cell>
          <cell r="K459">
            <v>107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/>
          </cell>
          <cell r="B460">
            <v>0</v>
          </cell>
          <cell r="C460">
            <v>0</v>
          </cell>
          <cell r="D460">
            <v>0</v>
          </cell>
          <cell r="E460">
            <v>45155</v>
          </cell>
          <cell r="F460" t="str">
            <v>QUINTA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A461" t="str">
            <v>FSJ823</v>
          </cell>
          <cell r="B461" t="str">
            <v>FSJ</v>
          </cell>
          <cell r="C461">
            <v>823</v>
          </cell>
          <cell r="D461">
            <v>45155</v>
          </cell>
          <cell r="E461" t="str">
            <v>RUA INDEPENDÊNCIA , 479</v>
          </cell>
          <cell r="F461" t="str">
            <v>CENTRO - LEO 14</v>
          </cell>
          <cell r="G461" t="str">
            <v>SÃO LEOPOLDO</v>
          </cell>
          <cell r="H461" t="str">
            <v>PORTO ALEGRE</v>
          </cell>
          <cell r="I461" t="str">
            <v>T</v>
          </cell>
          <cell r="J461">
            <v>6</v>
          </cell>
          <cell r="K461">
            <v>0</v>
          </cell>
          <cell r="L461" t="str">
            <v>PATRINE</v>
          </cell>
          <cell r="M461" t="str">
            <v>NÃO</v>
          </cell>
          <cell r="N461" t="str">
            <v>NÃO</v>
          </cell>
        </row>
        <row r="462">
          <cell r="A462" t="str">
            <v>PEN539</v>
          </cell>
          <cell r="B462" t="str">
            <v>PEN</v>
          </cell>
          <cell r="C462">
            <v>539</v>
          </cell>
          <cell r="D462">
            <v>45155</v>
          </cell>
          <cell r="E462" t="str">
            <v>AV : ASSIS BRASIL , 2517</v>
          </cell>
          <cell r="F462" t="str">
            <v>CRISTO REDENTOR</v>
          </cell>
          <cell r="G462" t="str">
            <v>PORTO ALEGRE</v>
          </cell>
          <cell r="H462" t="str">
            <v>PORTO ALEGRE</v>
          </cell>
          <cell r="I462" t="str">
            <v>T</v>
          </cell>
          <cell r="J462">
            <v>5</v>
          </cell>
          <cell r="K462">
            <v>0</v>
          </cell>
          <cell r="L462" t="str">
            <v>HEVERTON</v>
          </cell>
          <cell r="M462" t="str">
            <v>NÃO</v>
          </cell>
          <cell r="N462" t="str">
            <v>NÃO</v>
          </cell>
        </row>
        <row r="463">
          <cell r="A463" t="str">
            <v>PEN853</v>
          </cell>
          <cell r="B463" t="str">
            <v>PEN</v>
          </cell>
          <cell r="C463">
            <v>853</v>
          </cell>
          <cell r="D463">
            <v>45155</v>
          </cell>
          <cell r="E463" t="str">
            <v>RUA MAL. DEODORO , 219</v>
          </cell>
          <cell r="F463" t="str">
            <v>CENTRO</v>
          </cell>
          <cell r="G463" t="str">
            <v>BENTO GONÇALVES</v>
          </cell>
          <cell r="H463" t="str">
            <v>PORTO ALEGRE</v>
          </cell>
          <cell r="I463" t="str">
            <v>T</v>
          </cell>
          <cell r="J463">
            <v>7</v>
          </cell>
          <cell r="K463">
            <v>0</v>
          </cell>
          <cell r="L463" t="str">
            <v>PAVAN</v>
          </cell>
          <cell r="M463" t="str">
            <v>01 VAN</v>
          </cell>
          <cell r="N463">
            <v>0.66666666666666663</v>
          </cell>
        </row>
        <row r="464">
          <cell r="A464" t="str">
            <v>AGC16</v>
          </cell>
          <cell r="B464" t="str">
            <v>AGC</v>
          </cell>
          <cell r="C464">
            <v>16</v>
          </cell>
          <cell r="D464">
            <v>45155</v>
          </cell>
          <cell r="E464" t="str">
            <v>RUA EDUARDO PINTO DA ROCHA , 3685</v>
          </cell>
          <cell r="F464" t="str">
            <v>SÍTIO CERCADO</v>
          </cell>
          <cell r="G464" t="str">
            <v>CURITIBA</v>
          </cell>
          <cell r="H464" t="str">
            <v>PR CURITIBA</v>
          </cell>
          <cell r="I464" t="str">
            <v>T</v>
          </cell>
          <cell r="J464">
            <v>17</v>
          </cell>
          <cell r="K464">
            <v>0</v>
          </cell>
          <cell r="L464" t="str">
            <v>HENRIQUE</v>
          </cell>
          <cell r="M464" t="str">
            <v>NÃO</v>
          </cell>
          <cell r="N464" t="str">
            <v>NÃO</v>
          </cell>
        </row>
        <row r="465">
          <cell r="A465" t="str">
            <v>GUY4</v>
          </cell>
          <cell r="B465" t="str">
            <v>GUY</v>
          </cell>
          <cell r="C465">
            <v>4</v>
          </cell>
          <cell r="D465">
            <v>45155</v>
          </cell>
          <cell r="E465" t="str">
            <v>AV : PRES. TANCREDO NEVES , 1075</v>
          </cell>
          <cell r="F465" t="str">
            <v>VILA YARA ( GUGÃO )</v>
          </cell>
          <cell r="G465" t="str">
            <v>PARANAVAÍ</v>
          </cell>
          <cell r="H465" t="str">
            <v>PR LONDRINA</v>
          </cell>
          <cell r="I465" t="str">
            <v>T</v>
          </cell>
          <cell r="J465">
            <v>19</v>
          </cell>
          <cell r="K465">
            <v>0</v>
          </cell>
          <cell r="L465" t="str">
            <v>MARIANA/ALINE</v>
          </cell>
          <cell r="M465" t="str">
            <v>02 VANS e 01 CARRO</v>
          </cell>
          <cell r="N465">
            <v>0.64583333333333337</v>
          </cell>
        </row>
        <row r="466">
          <cell r="A466" t="str">
            <v>GUY4</v>
          </cell>
          <cell r="B466" t="str">
            <v>GUY</v>
          </cell>
          <cell r="C466">
            <v>4</v>
          </cell>
          <cell r="D466">
            <v>45155</v>
          </cell>
          <cell r="E466" t="str">
            <v>AV : PRES. TANCREDO NEVES , 1075</v>
          </cell>
          <cell r="F466" t="str">
            <v>VILA YARA ( GUGÃO )</v>
          </cell>
          <cell r="G466" t="str">
            <v>PARANAVAÍ</v>
          </cell>
          <cell r="H466" t="str">
            <v>SP INT AUX LDA</v>
          </cell>
          <cell r="I466" t="str">
            <v>APOIO</v>
          </cell>
          <cell r="J466">
            <v>15</v>
          </cell>
          <cell r="K466">
            <v>0</v>
          </cell>
          <cell r="L466" t="str">
            <v>LONDRINA</v>
          </cell>
          <cell r="M466">
            <v>0</v>
          </cell>
          <cell r="N466">
            <v>0.64583333333333337</v>
          </cell>
        </row>
        <row r="467">
          <cell r="A467" t="str">
            <v>HORF016</v>
          </cell>
          <cell r="B467" t="str">
            <v>HOR</v>
          </cell>
          <cell r="C467" t="str">
            <v>F016</v>
          </cell>
          <cell r="D467">
            <v>45155</v>
          </cell>
          <cell r="E467" t="str">
            <v>ESTRADA FRANCISCO DA CRUZ NUNES , S/Nº</v>
          </cell>
          <cell r="F467" t="str">
            <v>PIRATININGA - OCEÂNICA</v>
          </cell>
          <cell r="G467" t="str">
            <v>NITERÓI</v>
          </cell>
          <cell r="H467" t="str">
            <v>RJ</v>
          </cell>
          <cell r="I467" t="str">
            <v>T</v>
          </cell>
          <cell r="J467">
            <v>18</v>
          </cell>
          <cell r="K467">
            <v>0</v>
          </cell>
          <cell r="L467" t="str">
            <v>ANTÔNIO</v>
          </cell>
          <cell r="M467" t="str">
            <v>01 VAN</v>
          </cell>
          <cell r="N467">
            <v>0.66666666666666663</v>
          </cell>
        </row>
        <row r="468">
          <cell r="A468" t="str">
            <v>HORF046</v>
          </cell>
          <cell r="B468" t="str">
            <v>HOR</v>
          </cell>
          <cell r="C468" t="str">
            <v>F046</v>
          </cell>
          <cell r="D468">
            <v>45155</v>
          </cell>
          <cell r="E468" t="str">
            <v>AV : ATAULFO DE PAIVA , 458</v>
          </cell>
          <cell r="F468" t="str">
            <v>LEBLON - LEVE</v>
          </cell>
          <cell r="G468" t="str">
            <v>RIO DE JANEIRO</v>
          </cell>
          <cell r="H468" t="str">
            <v>RJ</v>
          </cell>
          <cell r="I468" t="str">
            <v>T</v>
          </cell>
          <cell r="J468">
            <v>6</v>
          </cell>
          <cell r="K468">
            <v>0</v>
          </cell>
          <cell r="L468" t="str">
            <v>MICHELE</v>
          </cell>
          <cell r="M468" t="str">
            <v>NÃO</v>
          </cell>
          <cell r="N468" t="str">
            <v>NÃO</v>
          </cell>
        </row>
        <row r="469">
          <cell r="A469" t="str">
            <v>HORF054</v>
          </cell>
          <cell r="B469" t="str">
            <v>HOR</v>
          </cell>
          <cell r="C469" t="str">
            <v>F054</v>
          </cell>
          <cell r="D469">
            <v>45155</v>
          </cell>
          <cell r="E469" t="str">
            <v>RUA DO CATETE , 172 / 174</v>
          </cell>
          <cell r="F469" t="str">
            <v>CATETE</v>
          </cell>
          <cell r="G469" t="str">
            <v>RIO DE JANEIRO</v>
          </cell>
          <cell r="H469" t="str">
            <v>RJ</v>
          </cell>
          <cell r="I469" t="str">
            <v>T</v>
          </cell>
          <cell r="J469">
            <v>15</v>
          </cell>
          <cell r="K469">
            <v>0</v>
          </cell>
          <cell r="L469" t="str">
            <v>RAFAEL</v>
          </cell>
          <cell r="M469" t="str">
            <v>NÃO</v>
          </cell>
          <cell r="N469" t="str">
            <v>NÃO</v>
          </cell>
        </row>
        <row r="470">
          <cell r="A470" t="str">
            <v>PEN344</v>
          </cell>
          <cell r="B470" t="str">
            <v>PEN</v>
          </cell>
          <cell r="C470">
            <v>344</v>
          </cell>
          <cell r="D470">
            <v>45155</v>
          </cell>
          <cell r="E470" t="str">
            <v>RUA FLORIANO PEIXOTO , 975</v>
          </cell>
          <cell r="F470" t="str">
            <v>CENTRO</v>
          </cell>
          <cell r="G470" t="str">
            <v>ITU</v>
          </cell>
          <cell r="H470" t="str">
            <v>SP INT BAURU</v>
          </cell>
          <cell r="I470" t="str">
            <v>T</v>
          </cell>
          <cell r="J470">
            <v>7</v>
          </cell>
          <cell r="K470">
            <v>0</v>
          </cell>
          <cell r="L470" t="str">
            <v>ROSÂNGELA</v>
          </cell>
          <cell r="M470" t="str">
            <v>01 VAN</v>
          </cell>
          <cell r="N470">
            <v>0.625</v>
          </cell>
        </row>
        <row r="471">
          <cell r="A471" t="str">
            <v>PEN723</v>
          </cell>
          <cell r="B471" t="str">
            <v>PEN</v>
          </cell>
          <cell r="C471">
            <v>723</v>
          </cell>
          <cell r="D471">
            <v>45155</v>
          </cell>
          <cell r="E471" t="str">
            <v>RUA MORAES GORDO , 315</v>
          </cell>
          <cell r="F471" t="str">
            <v>CENTRO</v>
          </cell>
          <cell r="G471" t="str">
            <v>SÃO MANUEL</v>
          </cell>
          <cell r="H471" t="str">
            <v>SP INT BAURU</v>
          </cell>
          <cell r="I471" t="str">
            <v>T</v>
          </cell>
          <cell r="J471">
            <v>4</v>
          </cell>
          <cell r="K471">
            <v>0</v>
          </cell>
          <cell r="L471" t="str">
            <v>VICTOR</v>
          </cell>
          <cell r="M471" t="str">
            <v>01 CARRO</v>
          </cell>
          <cell r="N471">
            <v>0.70833333333333337</v>
          </cell>
        </row>
        <row r="472">
          <cell r="A472" t="str">
            <v>SAZ1</v>
          </cell>
          <cell r="B472" t="str">
            <v>SAZ</v>
          </cell>
          <cell r="C472">
            <v>1</v>
          </cell>
          <cell r="D472">
            <v>45155</v>
          </cell>
          <cell r="E472" t="str">
            <v>PRAÇA CEL. LUIZ VENTURELLI , 38</v>
          </cell>
          <cell r="F472" t="str">
            <v>CENTRO - VENTURELLI</v>
          </cell>
          <cell r="G472" t="str">
            <v>ANDRADAS ( MG )</v>
          </cell>
          <cell r="H472" t="str">
            <v>SP INT BAURU</v>
          </cell>
          <cell r="I472" t="str">
            <v>APOIO</v>
          </cell>
          <cell r="J472">
            <v>10</v>
          </cell>
          <cell r="K472">
            <v>0</v>
          </cell>
          <cell r="L472" t="str">
            <v>GUSTAVO</v>
          </cell>
          <cell r="M472" t="str">
            <v>01 VAN</v>
          </cell>
          <cell r="N472">
            <v>0.66666666666666663</v>
          </cell>
        </row>
        <row r="473">
          <cell r="A473" t="str">
            <v>OXX1085940</v>
          </cell>
          <cell r="B473" t="str">
            <v>OXX</v>
          </cell>
          <cell r="C473">
            <v>1085940</v>
          </cell>
          <cell r="D473">
            <v>45155</v>
          </cell>
          <cell r="E473" t="str">
            <v>RUA GENERAL OSÓRIO , 1167</v>
          </cell>
          <cell r="F473" t="str">
            <v>CENTRO - LUZITANA</v>
          </cell>
          <cell r="G473" t="str">
            <v>CAMPINAS</v>
          </cell>
          <cell r="H473" t="str">
            <v>SP INT CPN</v>
          </cell>
          <cell r="I473" t="str">
            <v>P</v>
          </cell>
          <cell r="J473">
            <v>3</v>
          </cell>
          <cell r="K473" t="str">
            <v>DIURNO</v>
          </cell>
          <cell r="L473" t="str">
            <v>THALIA</v>
          </cell>
          <cell r="M473" t="str">
            <v>NÃO</v>
          </cell>
          <cell r="N473" t="str">
            <v>NÃO</v>
          </cell>
        </row>
        <row r="474">
          <cell r="A474" t="str">
            <v>OXX1087871</v>
          </cell>
          <cell r="B474" t="str">
            <v>OXX</v>
          </cell>
          <cell r="C474">
            <v>1087871</v>
          </cell>
          <cell r="D474">
            <v>45155</v>
          </cell>
          <cell r="E474" t="str">
            <v xml:space="preserve">AV : ANDRADE NEVES , 2119 </v>
          </cell>
          <cell r="F474" t="str">
            <v>BOTAFOGO - ARTESIANA</v>
          </cell>
          <cell r="G474" t="str">
            <v>CAMPINAS</v>
          </cell>
          <cell r="H474" t="str">
            <v>SP INT CPN</v>
          </cell>
          <cell r="I474" t="str">
            <v>P</v>
          </cell>
          <cell r="J474">
            <v>3</v>
          </cell>
          <cell r="K474" t="str">
            <v>DIURNO</v>
          </cell>
          <cell r="L474" t="str">
            <v>LETÍCIA/EVA</v>
          </cell>
          <cell r="M474" t="str">
            <v>NÃO</v>
          </cell>
          <cell r="N474" t="str">
            <v>NÃO</v>
          </cell>
        </row>
        <row r="475">
          <cell r="A475" t="str">
            <v>OXX1090200</v>
          </cell>
          <cell r="B475" t="str">
            <v>OXX</v>
          </cell>
          <cell r="C475">
            <v>1090200</v>
          </cell>
          <cell r="D475">
            <v>45155</v>
          </cell>
          <cell r="E475" t="str">
            <v>AV : PRINCESA D´OESTE , 1107</v>
          </cell>
          <cell r="F475" t="str">
            <v>VILA PARAÍSO - LOLLA</v>
          </cell>
          <cell r="G475" t="str">
            <v>CAMPINAS</v>
          </cell>
          <cell r="H475" t="str">
            <v>SP INT CPN</v>
          </cell>
          <cell r="I475" t="str">
            <v>P</v>
          </cell>
          <cell r="J475">
            <v>3</v>
          </cell>
          <cell r="K475" t="str">
            <v>DIURNO</v>
          </cell>
          <cell r="L475" t="str">
            <v>LEONARDO</v>
          </cell>
          <cell r="M475" t="str">
            <v>NÃO</v>
          </cell>
          <cell r="N475" t="str">
            <v>NÃO</v>
          </cell>
        </row>
        <row r="476">
          <cell r="A476" t="str">
            <v>SAZ1</v>
          </cell>
          <cell r="B476" t="str">
            <v>SAZ</v>
          </cell>
          <cell r="C476">
            <v>1</v>
          </cell>
          <cell r="D476">
            <v>45155</v>
          </cell>
          <cell r="E476" t="str">
            <v>PRAÇA CEL. LUIZ VENTURELLI , 38</v>
          </cell>
          <cell r="F476" t="str">
            <v>CENTRO - VENTURELLI</v>
          </cell>
          <cell r="G476" t="str">
            <v>ANDRADAS ( MG )</v>
          </cell>
          <cell r="H476" t="str">
            <v>SP INT LIMEIRA</v>
          </cell>
          <cell r="I476" t="str">
            <v>P</v>
          </cell>
          <cell r="J476">
            <v>20</v>
          </cell>
          <cell r="K476">
            <v>0</v>
          </cell>
          <cell r="L476" t="str">
            <v>GUSTAVO</v>
          </cell>
          <cell r="M476" t="str">
            <v>02 VANS</v>
          </cell>
          <cell r="N476">
            <v>0.66666666666666663</v>
          </cell>
        </row>
        <row r="477">
          <cell r="A477" t="str">
            <v>PEN224</v>
          </cell>
          <cell r="B477" t="str">
            <v>PEN</v>
          </cell>
          <cell r="C477">
            <v>224</v>
          </cell>
          <cell r="D477">
            <v>45155</v>
          </cell>
          <cell r="E477" t="str">
            <v>RUA HANS STADEN , 470</v>
          </cell>
          <cell r="F477" t="str">
            <v>CENTRO</v>
          </cell>
          <cell r="G477" t="str">
            <v>UBATUBA</v>
          </cell>
          <cell r="H477" t="str">
            <v>SP INT SJC</v>
          </cell>
          <cell r="I477" t="str">
            <v>T</v>
          </cell>
          <cell r="J477">
            <v>32</v>
          </cell>
          <cell r="K477">
            <v>0</v>
          </cell>
          <cell r="L477" t="str">
            <v>JAÍNE/FELIPE/BRUNA</v>
          </cell>
          <cell r="M477" t="str">
            <v>02 VANS</v>
          </cell>
          <cell r="N477">
            <v>0.625</v>
          </cell>
        </row>
        <row r="478">
          <cell r="A478" t="str">
            <v>APC116</v>
          </cell>
          <cell r="B478" t="str">
            <v>APC</v>
          </cell>
          <cell r="C478">
            <v>116</v>
          </cell>
          <cell r="D478">
            <v>45155</v>
          </cell>
          <cell r="E478" t="str">
            <v>AV : PADRE ANCHIETA , 1622</v>
          </cell>
          <cell r="F478" t="str">
            <v>CENTRO - NETUNO</v>
          </cell>
          <cell r="G478" t="str">
            <v>PERUÍBE</v>
          </cell>
          <cell r="H478" t="str">
            <v>SP LESTE</v>
          </cell>
          <cell r="I478" t="str">
            <v>F</v>
          </cell>
          <cell r="J478">
            <v>3</v>
          </cell>
          <cell r="K478">
            <v>0</v>
          </cell>
          <cell r="L478" t="str">
            <v>CHRIS</v>
          </cell>
          <cell r="M478">
            <v>0</v>
          </cell>
          <cell r="N478">
            <v>0</v>
          </cell>
        </row>
        <row r="479">
          <cell r="A479" t="str">
            <v>APC128</v>
          </cell>
          <cell r="B479" t="str">
            <v>APC</v>
          </cell>
          <cell r="C479">
            <v>128</v>
          </cell>
          <cell r="D479">
            <v>45155</v>
          </cell>
          <cell r="E479" t="str">
            <v>AV : BARÃO DE MAUÁ , 92</v>
          </cell>
          <cell r="F479" t="str">
            <v>PQ. ESTRELA</v>
          </cell>
          <cell r="G479" t="str">
            <v>GUARULHOS</v>
          </cell>
          <cell r="H479" t="str">
            <v>SP LESTE</v>
          </cell>
          <cell r="I479" t="str">
            <v>T</v>
          </cell>
          <cell r="J479">
            <v>3</v>
          </cell>
          <cell r="K479" t="str">
            <v>DIURNO</v>
          </cell>
          <cell r="L479" t="str">
            <v>CHRIS</v>
          </cell>
          <cell r="M479" t="str">
            <v>UBER</v>
          </cell>
          <cell r="N479">
            <v>0.29166666666666669</v>
          </cell>
        </row>
        <row r="480">
          <cell r="A480" t="str">
            <v>GIG907</v>
          </cell>
          <cell r="B480" t="str">
            <v>GIG</v>
          </cell>
          <cell r="C480">
            <v>907</v>
          </cell>
          <cell r="D480">
            <v>45155</v>
          </cell>
          <cell r="E480" t="str">
            <v>RUA BÁRBARA HIPOLITO CAPRIOTTI , 401</v>
          </cell>
          <cell r="F480" t="str">
            <v>VILA IZA</v>
          </cell>
          <cell r="G480" t="str">
            <v>CARAPICUÍBA</v>
          </cell>
          <cell r="H480" t="str">
            <v>SP LESTE</v>
          </cell>
          <cell r="I480" t="str">
            <v>CP</v>
          </cell>
          <cell r="J480">
            <v>1</v>
          </cell>
          <cell r="K480" t="str">
            <v>DIURNO</v>
          </cell>
          <cell r="L480" t="str">
            <v>GINA</v>
          </cell>
          <cell r="M480" t="str">
            <v>UBER</v>
          </cell>
          <cell r="N480">
            <v>0.25</v>
          </cell>
        </row>
        <row r="481">
          <cell r="A481" t="str">
            <v>GIG907</v>
          </cell>
          <cell r="B481" t="str">
            <v>GIG</v>
          </cell>
          <cell r="C481">
            <v>907</v>
          </cell>
          <cell r="D481">
            <v>45155</v>
          </cell>
          <cell r="E481" t="str">
            <v>RUA BÁRBARA HIPOLITO CAPRIOTTI , 401</v>
          </cell>
          <cell r="F481" t="str">
            <v>VILA IZA</v>
          </cell>
          <cell r="G481" t="str">
            <v>CARAPICUÍBA</v>
          </cell>
          <cell r="H481" t="str">
            <v>SP LESTE</v>
          </cell>
          <cell r="I481" t="str">
            <v>T</v>
          </cell>
          <cell r="J481">
            <v>54</v>
          </cell>
          <cell r="K481">
            <v>0</v>
          </cell>
          <cell r="L481" t="str">
            <v>PATRÍCIA/JÉSSICA</v>
          </cell>
          <cell r="M481" t="str">
            <v>04 VANS</v>
          </cell>
          <cell r="N481">
            <v>0.72916666666666663</v>
          </cell>
        </row>
        <row r="482">
          <cell r="A482" t="str">
            <v>HNTN004</v>
          </cell>
          <cell r="B482" t="str">
            <v>HNT</v>
          </cell>
          <cell r="C482" t="str">
            <v>N004</v>
          </cell>
          <cell r="D482">
            <v>45155</v>
          </cell>
          <cell r="E482" t="str">
            <v>RUA ROSA E SILVA , 163</v>
          </cell>
          <cell r="F482" t="str">
            <v>SANTA CECÍLIA - ROSA E SILVA</v>
          </cell>
          <cell r="G482" t="str">
            <v>SÃO PAULO</v>
          </cell>
          <cell r="H482" t="str">
            <v>SP LESTE</v>
          </cell>
          <cell r="I482" t="str">
            <v>T</v>
          </cell>
          <cell r="J482">
            <v>18</v>
          </cell>
          <cell r="K482">
            <v>0</v>
          </cell>
          <cell r="L482" t="str">
            <v>LUANA/KAIQUE</v>
          </cell>
          <cell r="M482" t="str">
            <v>NÃO</v>
          </cell>
          <cell r="N482" t="str">
            <v>NÃO</v>
          </cell>
        </row>
        <row r="483">
          <cell r="A483" t="str">
            <v>HNTN015</v>
          </cell>
          <cell r="B483" t="str">
            <v>HNT</v>
          </cell>
          <cell r="C483" t="str">
            <v>N015</v>
          </cell>
          <cell r="D483">
            <v>45155</v>
          </cell>
          <cell r="E483" t="str">
            <v>RUA DR. ÁLVARO ALVIM , 164</v>
          </cell>
          <cell r="F483" t="str">
            <v>VILA MARIANA</v>
          </cell>
          <cell r="G483" t="str">
            <v>SÃO PAULO</v>
          </cell>
          <cell r="H483" t="str">
            <v>SP LESTE</v>
          </cell>
          <cell r="I483" t="str">
            <v>T</v>
          </cell>
          <cell r="J483">
            <v>20</v>
          </cell>
          <cell r="K483">
            <v>0</v>
          </cell>
          <cell r="L483" t="str">
            <v>LUÍS/ANTÔNIO</v>
          </cell>
          <cell r="M483" t="str">
            <v>NÃO</v>
          </cell>
          <cell r="N483" t="str">
            <v>NÃO</v>
          </cell>
        </row>
        <row r="484">
          <cell r="A484" t="str">
            <v>MPA5142</v>
          </cell>
          <cell r="B484" t="str">
            <v>MPA</v>
          </cell>
          <cell r="C484">
            <v>5142</v>
          </cell>
          <cell r="D484">
            <v>45155</v>
          </cell>
          <cell r="E484" t="str">
            <v>AV : MARECHAL MALLET , 608</v>
          </cell>
          <cell r="F484" t="str">
            <v>CANTO DO FORTE</v>
          </cell>
          <cell r="G484" t="str">
            <v>PRAIA GRANDE</v>
          </cell>
          <cell r="H484" t="str">
            <v>SP LESTE</v>
          </cell>
          <cell r="I484" t="str">
            <v>T</v>
          </cell>
          <cell r="J484">
            <v>13</v>
          </cell>
          <cell r="K484">
            <v>0</v>
          </cell>
          <cell r="L484" t="str">
            <v>CARINA</v>
          </cell>
          <cell r="M484" t="str">
            <v>01 VAN</v>
          </cell>
          <cell r="N484">
            <v>0.66666666666666663</v>
          </cell>
        </row>
        <row r="485">
          <cell r="A485" t="str">
            <v>PMO42</v>
          </cell>
          <cell r="B485" t="str">
            <v>PMO</v>
          </cell>
          <cell r="C485">
            <v>42</v>
          </cell>
          <cell r="D485">
            <v>45155</v>
          </cell>
          <cell r="E485" t="str">
            <v>AV : SOUZA RAMOS , 475</v>
          </cell>
          <cell r="F485" t="str">
            <v>GUAIANAZES</v>
          </cell>
          <cell r="G485" t="str">
            <v>SÃO PAULO</v>
          </cell>
          <cell r="H485" t="str">
            <v>SP LESTE</v>
          </cell>
          <cell r="I485" t="str">
            <v>T</v>
          </cell>
          <cell r="J485">
            <v>5</v>
          </cell>
          <cell r="K485">
            <v>0</v>
          </cell>
          <cell r="L485" t="str">
            <v>TAMIRES</v>
          </cell>
          <cell r="M485" t="str">
            <v>NÃO</v>
          </cell>
          <cell r="N485" t="str">
            <v>NÃO</v>
          </cell>
        </row>
        <row r="486">
          <cell r="A486" t="str">
            <v>OXX1089310</v>
          </cell>
          <cell r="B486" t="str">
            <v>OXX</v>
          </cell>
          <cell r="C486">
            <v>1089310</v>
          </cell>
          <cell r="D486">
            <v>45155</v>
          </cell>
          <cell r="E486" t="str">
            <v>RUA ALBUQUERQUE LINS , 696</v>
          </cell>
          <cell r="F486" t="str">
            <v>SANTA CECÍLIA</v>
          </cell>
          <cell r="G486" t="str">
            <v>SÃO PAULO</v>
          </cell>
          <cell r="H486" t="str">
            <v>SP LESTE X</v>
          </cell>
          <cell r="I486" t="str">
            <v>P</v>
          </cell>
          <cell r="J486">
            <v>3</v>
          </cell>
          <cell r="K486" t="str">
            <v>DIURNO</v>
          </cell>
          <cell r="L486" t="str">
            <v>GAMA/JOYCE</v>
          </cell>
          <cell r="M486" t="str">
            <v>NÃO</v>
          </cell>
          <cell r="N486" t="str">
            <v>NÃO</v>
          </cell>
        </row>
        <row r="487">
          <cell r="A487" t="str">
            <v>OXX1095048</v>
          </cell>
          <cell r="B487" t="str">
            <v>OXX</v>
          </cell>
          <cell r="C487">
            <v>1095048</v>
          </cell>
          <cell r="D487">
            <v>45155</v>
          </cell>
          <cell r="E487" t="str">
            <v>RUA DR. RAMOS DE AZEVEDO , 216</v>
          </cell>
          <cell r="F487" t="str">
            <v>CENTRO - UNG</v>
          </cell>
          <cell r="G487" t="str">
            <v>GUARULHOS</v>
          </cell>
          <cell r="H487" t="str">
            <v>SP LESTE X</v>
          </cell>
          <cell r="I487" t="str">
            <v>P</v>
          </cell>
          <cell r="J487">
            <v>3</v>
          </cell>
          <cell r="K487" t="str">
            <v>DIURNO</v>
          </cell>
          <cell r="L487" t="str">
            <v>CÁSSIA</v>
          </cell>
          <cell r="M487" t="str">
            <v>UBER</v>
          </cell>
          <cell r="N487">
            <v>0.29166666666666669</v>
          </cell>
        </row>
        <row r="488">
          <cell r="A488" t="str">
            <v>OXX1095369</v>
          </cell>
          <cell r="B488" t="str">
            <v>OXX</v>
          </cell>
          <cell r="C488">
            <v>1095369</v>
          </cell>
          <cell r="D488">
            <v>45155</v>
          </cell>
          <cell r="E488" t="str">
            <v>RUA BERNARDINO DE CAMPOS , 311</v>
          </cell>
          <cell r="F488" t="str">
            <v>CENTRO - MONTE CLUBES</v>
          </cell>
          <cell r="G488" t="str">
            <v>SANTO ANDRÉ</v>
          </cell>
          <cell r="H488" t="str">
            <v>SP LESTE X</v>
          </cell>
          <cell r="I488" t="str">
            <v>P</v>
          </cell>
          <cell r="J488">
            <v>3</v>
          </cell>
          <cell r="K488" t="str">
            <v>DIURNO</v>
          </cell>
          <cell r="L488" t="str">
            <v>LARISSA</v>
          </cell>
          <cell r="M488" t="str">
            <v>NÃO</v>
          </cell>
          <cell r="N488" t="str">
            <v>NÃO</v>
          </cell>
        </row>
        <row r="489">
          <cell r="A489" t="str">
            <v>OXX1097055</v>
          </cell>
          <cell r="B489" t="str">
            <v>OXX</v>
          </cell>
          <cell r="C489">
            <v>1097055</v>
          </cell>
          <cell r="D489">
            <v>45155</v>
          </cell>
          <cell r="E489" t="str">
            <v>AV : DR. TIMÓTEO PENTEADO , 560</v>
          </cell>
          <cell r="F489" t="str">
            <v>VILA HULDA - DR. TIMÓTEO</v>
          </cell>
          <cell r="G489" t="str">
            <v>GUARULHOS</v>
          </cell>
          <cell r="H489" t="str">
            <v>SP LESTE X</v>
          </cell>
          <cell r="I489" t="str">
            <v>P</v>
          </cell>
          <cell r="J489">
            <v>3</v>
          </cell>
          <cell r="K489" t="str">
            <v>DIURNO</v>
          </cell>
          <cell r="L489" t="str">
            <v>JOSÉ WELVYS</v>
          </cell>
          <cell r="M489" t="str">
            <v>UBER</v>
          </cell>
          <cell r="N489">
            <v>0.29166666666666669</v>
          </cell>
        </row>
        <row r="490">
          <cell r="A490" t="str">
            <v>OXX1100095</v>
          </cell>
          <cell r="B490" t="str">
            <v>OXX</v>
          </cell>
          <cell r="C490">
            <v>1100095</v>
          </cell>
          <cell r="D490">
            <v>45155</v>
          </cell>
          <cell r="E490" t="str">
            <v>RUA DO BOSQUE , 712</v>
          </cell>
          <cell r="F490" t="str">
            <v>BARRA FUNDA - BOSQUE</v>
          </cell>
          <cell r="G490" t="str">
            <v>SÃO PAULO</v>
          </cell>
          <cell r="H490" t="str">
            <v>SP LESTE X</v>
          </cell>
          <cell r="I490" t="str">
            <v>P</v>
          </cell>
          <cell r="J490">
            <v>3</v>
          </cell>
          <cell r="K490" t="str">
            <v>DIURNO</v>
          </cell>
          <cell r="L490" t="str">
            <v>ANDERSON</v>
          </cell>
          <cell r="M490" t="str">
            <v>NÃO</v>
          </cell>
          <cell r="N490" t="str">
            <v>NÃO</v>
          </cell>
        </row>
        <row r="491">
          <cell r="A491" t="str">
            <v>SHX1094475</v>
          </cell>
          <cell r="B491" t="str">
            <v>SHX</v>
          </cell>
          <cell r="C491">
            <v>1094475</v>
          </cell>
          <cell r="D491">
            <v>45155</v>
          </cell>
          <cell r="E491" t="str">
            <v>AV : DR. ARNALDO , 953</v>
          </cell>
          <cell r="F491" t="str">
            <v>SUMAREZINHO - CARDEAL</v>
          </cell>
          <cell r="G491" t="str">
            <v>SÃO PAULO</v>
          </cell>
          <cell r="H491" t="str">
            <v>SP LESTE X</v>
          </cell>
          <cell r="I491" t="str">
            <v>P</v>
          </cell>
          <cell r="J491">
            <v>2</v>
          </cell>
          <cell r="K491" t="str">
            <v>DIURNO</v>
          </cell>
          <cell r="L491" t="str">
            <v>ARTHUR</v>
          </cell>
          <cell r="M491" t="str">
            <v>NÃO</v>
          </cell>
          <cell r="N491" t="str">
            <v>NÃO</v>
          </cell>
        </row>
        <row r="492">
          <cell r="A492" t="str">
            <v>CFX599</v>
          </cell>
          <cell r="B492" t="str">
            <v>CFX</v>
          </cell>
          <cell r="C492">
            <v>599</v>
          </cell>
          <cell r="D492">
            <v>45155</v>
          </cell>
          <cell r="E492" t="str">
            <v>RUA MANOEL DA NÓBREGA , 640</v>
          </cell>
          <cell r="F492" t="str">
            <v>SHOPPING PRAÇA DA MOÇA</v>
          </cell>
          <cell r="G492" t="str">
            <v>DIADEMA</v>
          </cell>
          <cell r="H492" t="str">
            <v>SP SUL</v>
          </cell>
          <cell r="I492" t="str">
            <v>T</v>
          </cell>
          <cell r="J492">
            <v>5</v>
          </cell>
          <cell r="K492">
            <v>0</v>
          </cell>
          <cell r="L492" t="str">
            <v>GLEDSON</v>
          </cell>
          <cell r="M492" t="str">
            <v>UBER ( JABAQUARA )</v>
          </cell>
          <cell r="N492">
            <v>0.72916666666666663</v>
          </cell>
        </row>
        <row r="493">
          <cell r="A493" t="str">
            <v>CFX677</v>
          </cell>
          <cell r="B493" t="str">
            <v>CFX</v>
          </cell>
          <cell r="C493">
            <v>677</v>
          </cell>
          <cell r="D493">
            <v>45155</v>
          </cell>
          <cell r="E493" t="str">
            <v>RUA SANTO ANTÔNIO , 308</v>
          </cell>
          <cell r="F493" t="str">
            <v>BELA VISTA</v>
          </cell>
          <cell r="G493" t="str">
            <v>SÃO PAULO</v>
          </cell>
          <cell r="H493" t="str">
            <v>SP SUL</v>
          </cell>
          <cell r="I493" t="str">
            <v>T</v>
          </cell>
          <cell r="J493">
            <v>7</v>
          </cell>
          <cell r="K493">
            <v>0</v>
          </cell>
          <cell r="L493" t="str">
            <v>YGOR</v>
          </cell>
          <cell r="M493" t="str">
            <v>NÃO</v>
          </cell>
          <cell r="N493" t="str">
            <v>NÃO</v>
          </cell>
        </row>
        <row r="494">
          <cell r="A494" t="str">
            <v>EXS597</v>
          </cell>
          <cell r="B494" t="str">
            <v>EXS</v>
          </cell>
          <cell r="C494">
            <v>597</v>
          </cell>
          <cell r="D494">
            <v>45155</v>
          </cell>
          <cell r="E494" t="str">
            <v xml:space="preserve">AV : GOV. MÁRIO COVAS , S/Nº       </v>
          </cell>
          <cell r="F494" t="str">
            <v>CENTRO - ESTAÇÃO</v>
          </cell>
          <cell r="G494" t="str">
            <v>CARAPICUÍBA</v>
          </cell>
          <cell r="H494" t="str">
            <v>SP SUL</v>
          </cell>
          <cell r="I494" t="str">
            <v>T</v>
          </cell>
          <cell r="J494">
            <v>28</v>
          </cell>
          <cell r="K494">
            <v>0</v>
          </cell>
          <cell r="L494" t="str">
            <v>CAMILA/CARLOS</v>
          </cell>
          <cell r="M494" t="str">
            <v>NÃO</v>
          </cell>
          <cell r="N494" t="str">
            <v>NÃO</v>
          </cell>
        </row>
        <row r="495">
          <cell r="A495" t="str">
            <v>HNTN002</v>
          </cell>
          <cell r="B495" t="str">
            <v>HNT</v>
          </cell>
          <cell r="C495" t="str">
            <v>N002</v>
          </cell>
          <cell r="D495">
            <v>45155</v>
          </cell>
          <cell r="E495" t="str">
            <v>RUA JOÃO CACHOEIRA , 1351</v>
          </cell>
          <cell r="F495" t="str">
            <v>ITAIM BIBI - JOÃO CACHOEIRA</v>
          </cell>
          <cell r="G495" t="str">
            <v>SÃO PAULO</v>
          </cell>
          <cell r="H495" t="str">
            <v>SP SUL</v>
          </cell>
          <cell r="I495" t="str">
            <v>T</v>
          </cell>
          <cell r="J495">
            <v>17</v>
          </cell>
          <cell r="K495">
            <v>0</v>
          </cell>
          <cell r="L495" t="str">
            <v>ELAINE</v>
          </cell>
          <cell r="M495" t="str">
            <v>NÃO</v>
          </cell>
          <cell r="N495" t="str">
            <v>NÃO</v>
          </cell>
        </row>
        <row r="496">
          <cell r="A496" t="str">
            <v>HNTN003</v>
          </cell>
          <cell r="B496" t="str">
            <v>HNT</v>
          </cell>
          <cell r="C496" t="str">
            <v>N003</v>
          </cell>
          <cell r="D496">
            <v>45155</v>
          </cell>
          <cell r="E496" t="str">
            <v>AV : SANTO AMARO , 6618</v>
          </cell>
          <cell r="F496" t="str">
            <v>VERBO DIVINO</v>
          </cell>
          <cell r="G496" t="str">
            <v>SÃO PAULO</v>
          </cell>
          <cell r="H496" t="str">
            <v>SP SUL</v>
          </cell>
          <cell r="I496" t="str">
            <v>T</v>
          </cell>
          <cell r="J496">
            <v>19</v>
          </cell>
          <cell r="K496">
            <v>0</v>
          </cell>
          <cell r="L496" t="str">
            <v>JUSCELINO</v>
          </cell>
          <cell r="M496" t="str">
            <v>NÃO</v>
          </cell>
          <cell r="N496" t="str">
            <v>NÃO</v>
          </cell>
        </row>
        <row r="497">
          <cell r="A497" t="str">
            <v>STMS105</v>
          </cell>
          <cell r="B497" t="str">
            <v>STM</v>
          </cell>
          <cell r="C497" t="str">
            <v>S105</v>
          </cell>
          <cell r="D497">
            <v>45155</v>
          </cell>
          <cell r="E497" t="str">
            <v>RUA SÓCRATES , 334</v>
          </cell>
          <cell r="F497" t="str">
            <v>CHÁCARA FLORA</v>
          </cell>
          <cell r="G497" t="str">
            <v>SÃO PAULO</v>
          </cell>
          <cell r="H497" t="str">
            <v>SP SUL</v>
          </cell>
          <cell r="I497" t="str">
            <v>T</v>
          </cell>
          <cell r="J497">
            <v>35</v>
          </cell>
          <cell r="K497">
            <v>0</v>
          </cell>
          <cell r="L497" t="str">
            <v>RUAN</v>
          </cell>
          <cell r="M497" t="str">
            <v>NÃO</v>
          </cell>
          <cell r="N497" t="str">
            <v>NÃO</v>
          </cell>
        </row>
        <row r="498">
          <cell r="A498" t="str">
            <v>OXX1089007</v>
          </cell>
          <cell r="B498" t="str">
            <v>OXX</v>
          </cell>
          <cell r="C498">
            <v>1089007</v>
          </cell>
          <cell r="D498">
            <v>45155</v>
          </cell>
          <cell r="E498" t="str">
            <v>AV : PE. ANTÔNIO JOSÉ DOS SANTOS , 1020</v>
          </cell>
          <cell r="F498" t="str">
            <v>CIDADE MONÇÕES - PE. ANTÔNIO</v>
          </cell>
          <cell r="G498" t="str">
            <v>SÃO PAULO</v>
          </cell>
          <cell r="H498" t="str">
            <v>SP SUL X</v>
          </cell>
          <cell r="I498" t="str">
            <v>P</v>
          </cell>
          <cell r="J498">
            <v>3</v>
          </cell>
          <cell r="K498" t="str">
            <v>DIURNO</v>
          </cell>
          <cell r="L498" t="str">
            <v>NATHALIA</v>
          </cell>
          <cell r="M498" t="str">
            <v>NÃO</v>
          </cell>
          <cell r="N498" t="str">
            <v>NÃO</v>
          </cell>
        </row>
        <row r="499">
          <cell r="A499" t="str">
            <v>OXX1090213</v>
          </cell>
          <cell r="B499" t="str">
            <v>OXX</v>
          </cell>
          <cell r="C499">
            <v>1090213</v>
          </cell>
          <cell r="D499">
            <v>45155</v>
          </cell>
          <cell r="E499" t="str">
            <v>RUA JORGE FIGUEIREDO CORREA , 1505</v>
          </cell>
          <cell r="F499" t="str">
            <v>MALL CHÁCARA PRIMAVERA</v>
          </cell>
          <cell r="G499" t="str">
            <v>CAMPINAS</v>
          </cell>
          <cell r="H499" t="str">
            <v>SP SUL X</v>
          </cell>
          <cell r="I499" t="str">
            <v>P</v>
          </cell>
          <cell r="J499">
            <v>3</v>
          </cell>
          <cell r="K499" t="str">
            <v>DIURNO</v>
          </cell>
          <cell r="L499" t="str">
            <v>ANDRÉ</v>
          </cell>
          <cell r="M499" t="str">
            <v>01 CARRO ( EDSON )</v>
          </cell>
          <cell r="N499">
            <v>0.27083333333333331</v>
          </cell>
        </row>
        <row r="500">
          <cell r="A500" t="str">
            <v>OXX1090473</v>
          </cell>
          <cell r="B500" t="str">
            <v>OXX</v>
          </cell>
          <cell r="C500">
            <v>1090473</v>
          </cell>
          <cell r="D500">
            <v>45155</v>
          </cell>
          <cell r="E500" t="str">
            <v>AV : CIDADE JARDIM , 655</v>
          </cell>
          <cell r="F500" t="str">
            <v>ITAIM BIBI - CIDADE JARDIM</v>
          </cell>
          <cell r="G500" t="str">
            <v>SÃO PAULO</v>
          </cell>
          <cell r="H500" t="str">
            <v>SP SUL X</v>
          </cell>
          <cell r="I500" t="str">
            <v>P</v>
          </cell>
          <cell r="J500">
            <v>3</v>
          </cell>
          <cell r="K500" t="str">
            <v>DIURNO</v>
          </cell>
          <cell r="L500" t="str">
            <v>CLAUDIA</v>
          </cell>
          <cell r="M500" t="str">
            <v>NÃO</v>
          </cell>
          <cell r="N500" t="str">
            <v>NÃO</v>
          </cell>
        </row>
        <row r="501">
          <cell r="A501" t="str">
            <v>OXX1093746</v>
          </cell>
          <cell r="B501" t="str">
            <v>OXX</v>
          </cell>
          <cell r="C501">
            <v>1093746</v>
          </cell>
          <cell r="D501">
            <v>45155</v>
          </cell>
          <cell r="E501" t="str">
            <v>RUA DR. ALCEU DE CAMPOS RODRIGUES , 329</v>
          </cell>
          <cell r="F501" t="str">
            <v>VILA NOVA CONCEIÇÃO - ALCEU</v>
          </cell>
          <cell r="G501" t="str">
            <v>SÃO PAULO</v>
          </cell>
          <cell r="H501" t="str">
            <v>SP SUL X</v>
          </cell>
          <cell r="I501" t="str">
            <v>P</v>
          </cell>
          <cell r="J501">
            <v>3</v>
          </cell>
          <cell r="K501" t="str">
            <v>DIURNO</v>
          </cell>
          <cell r="L501" t="str">
            <v>RAFAEL</v>
          </cell>
          <cell r="M501" t="str">
            <v>NÃO</v>
          </cell>
          <cell r="N501" t="str">
            <v>NÃO</v>
          </cell>
        </row>
        <row r="502">
          <cell r="A502" t="str">
            <v>OXX1098636</v>
          </cell>
          <cell r="B502" t="str">
            <v>OXX</v>
          </cell>
          <cell r="C502">
            <v>1098636</v>
          </cell>
          <cell r="D502">
            <v>45155</v>
          </cell>
          <cell r="E502" t="str">
            <v>RUA BOTUCATU , 620</v>
          </cell>
          <cell r="F502" t="str">
            <v>VILA CLEMENTINO - BICATU</v>
          </cell>
          <cell r="G502" t="str">
            <v>SÃO PAULO</v>
          </cell>
          <cell r="H502" t="str">
            <v>SP SUL X</v>
          </cell>
          <cell r="I502" t="str">
            <v>P</v>
          </cell>
          <cell r="J502">
            <v>3</v>
          </cell>
          <cell r="K502" t="str">
            <v>DIURNO</v>
          </cell>
          <cell r="L502" t="str">
            <v>JÉSSICA</v>
          </cell>
          <cell r="M502" t="str">
            <v>NÃO</v>
          </cell>
          <cell r="N502" t="str">
            <v>NÃO</v>
          </cell>
        </row>
        <row r="503">
          <cell r="A503" t="str">
            <v>OXX1099205</v>
          </cell>
          <cell r="B503" t="str">
            <v>OXX</v>
          </cell>
          <cell r="C503">
            <v>1099205</v>
          </cell>
          <cell r="D503">
            <v>45155</v>
          </cell>
          <cell r="E503" t="str">
            <v>AV : MASCOTE , 398</v>
          </cell>
          <cell r="F503" t="str">
            <v>VILA MASCOTE - ARAPÁS</v>
          </cell>
          <cell r="G503" t="str">
            <v>SÃO PAULO</v>
          </cell>
          <cell r="H503" t="str">
            <v>SP SUL X</v>
          </cell>
          <cell r="I503" t="str">
            <v>P</v>
          </cell>
          <cell r="J503">
            <v>3</v>
          </cell>
          <cell r="K503" t="str">
            <v>DIURNO</v>
          </cell>
          <cell r="L503" t="str">
            <v>RAYANE</v>
          </cell>
          <cell r="M503" t="str">
            <v>NÃO</v>
          </cell>
          <cell r="N503" t="str">
            <v>NÃO</v>
          </cell>
        </row>
        <row r="504">
          <cell r="A504" t="str">
            <v/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 t="str">
            <v>Total</v>
          </cell>
          <cell r="J504">
            <v>453</v>
          </cell>
          <cell r="K504">
            <v>137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/>
          </cell>
          <cell r="B505">
            <v>0</v>
          </cell>
          <cell r="C505">
            <v>0</v>
          </cell>
          <cell r="D505">
            <v>0</v>
          </cell>
          <cell r="E505">
            <v>45156</v>
          </cell>
          <cell r="F505" t="str">
            <v>SEXTA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HORF004</v>
          </cell>
          <cell r="B506" t="str">
            <v>HOR</v>
          </cell>
          <cell r="C506" t="str">
            <v>F004</v>
          </cell>
          <cell r="D506">
            <v>45156</v>
          </cell>
          <cell r="E506" t="str">
            <v>RUA BARÃO DO BOM RETIRO , 2683</v>
          </cell>
          <cell r="F506" t="str">
            <v>GRAJAÚ</v>
          </cell>
          <cell r="G506" t="str">
            <v>RIO DE JANEIRO</v>
          </cell>
          <cell r="H506" t="str">
            <v>RJ</v>
          </cell>
          <cell r="I506" t="str">
            <v>T</v>
          </cell>
          <cell r="J506">
            <v>13</v>
          </cell>
          <cell r="K506">
            <v>0</v>
          </cell>
          <cell r="L506" t="str">
            <v>ANTÔNIO</v>
          </cell>
          <cell r="M506" t="str">
            <v>NÃO</v>
          </cell>
          <cell r="N506" t="str">
            <v>NÃO</v>
          </cell>
        </row>
        <row r="507">
          <cell r="A507" t="str">
            <v>HORF032</v>
          </cell>
          <cell r="B507" t="str">
            <v>HOR</v>
          </cell>
          <cell r="C507" t="str">
            <v>F032</v>
          </cell>
          <cell r="D507">
            <v>45156</v>
          </cell>
          <cell r="E507" t="str">
            <v>RUA MARQUÊS DE SÃO VICENTE , 115</v>
          </cell>
          <cell r="F507" t="str">
            <v>GÁVEA - LEVE</v>
          </cell>
          <cell r="G507" t="str">
            <v>RIO DE JANEIRO</v>
          </cell>
          <cell r="H507" t="str">
            <v>RJ</v>
          </cell>
          <cell r="I507" t="str">
            <v>T</v>
          </cell>
          <cell r="J507">
            <v>6</v>
          </cell>
          <cell r="K507">
            <v>0</v>
          </cell>
          <cell r="L507" t="str">
            <v>AUGUSTO</v>
          </cell>
          <cell r="M507" t="str">
            <v>NÃO</v>
          </cell>
          <cell r="N507" t="str">
            <v>NÃO</v>
          </cell>
        </row>
        <row r="508">
          <cell r="A508" t="str">
            <v>HORF034</v>
          </cell>
          <cell r="B508" t="str">
            <v>HOR</v>
          </cell>
          <cell r="C508" t="str">
            <v>F034</v>
          </cell>
          <cell r="D508">
            <v>45156</v>
          </cell>
          <cell r="E508" t="str">
            <v>AV : ATAULFO DE PAIVA , 80 - LOJA A</v>
          </cell>
          <cell r="F508" t="str">
            <v>LEBLON - LEVE</v>
          </cell>
          <cell r="G508" t="str">
            <v>RIO DE JANEIRO</v>
          </cell>
          <cell r="H508" t="str">
            <v>RJ</v>
          </cell>
          <cell r="I508" t="str">
            <v>T</v>
          </cell>
          <cell r="J508">
            <v>9</v>
          </cell>
          <cell r="K508">
            <v>0</v>
          </cell>
          <cell r="L508" t="str">
            <v>MICHELE</v>
          </cell>
          <cell r="M508" t="str">
            <v>NÃO</v>
          </cell>
          <cell r="N508" t="str">
            <v>NÃO</v>
          </cell>
        </row>
        <row r="509">
          <cell r="A509" t="str">
            <v>ASI24</v>
          </cell>
          <cell r="B509" t="str">
            <v>ASI</v>
          </cell>
          <cell r="C509">
            <v>24</v>
          </cell>
          <cell r="D509">
            <v>45156</v>
          </cell>
          <cell r="E509" t="str">
            <v>AV : TANCREDO NEVES , 450</v>
          </cell>
          <cell r="F509" t="str">
            <v>JD. CLARETE</v>
          </cell>
          <cell r="G509" t="str">
            <v>RIO CLARO</v>
          </cell>
          <cell r="H509" t="str">
            <v>SP INT BAURU</v>
          </cell>
          <cell r="I509" t="str">
            <v>F</v>
          </cell>
          <cell r="J509">
            <v>15</v>
          </cell>
          <cell r="K509">
            <v>0</v>
          </cell>
          <cell r="L509" t="str">
            <v>ROSÂNGELA</v>
          </cell>
          <cell r="M509">
            <v>0</v>
          </cell>
          <cell r="N509">
            <v>0</v>
          </cell>
        </row>
        <row r="510">
          <cell r="A510" t="str">
            <v>DSP683</v>
          </cell>
          <cell r="B510" t="str">
            <v>DSP</v>
          </cell>
          <cell r="C510">
            <v>683</v>
          </cell>
          <cell r="D510">
            <v>45156</v>
          </cell>
          <cell r="E510" t="str">
            <v>AV : PROF. RAPHAEL LAURINDO , 898</v>
          </cell>
          <cell r="F510" t="str">
            <v>JD. PARAÍSO</v>
          </cell>
          <cell r="G510" t="str">
            <v>BOTUCATU</v>
          </cell>
          <cell r="H510" t="str">
            <v>SP INT BAURU</v>
          </cell>
          <cell r="I510" t="str">
            <v>T</v>
          </cell>
          <cell r="J510">
            <v>11</v>
          </cell>
          <cell r="K510">
            <v>0</v>
          </cell>
          <cell r="L510" t="str">
            <v>VICTOR</v>
          </cell>
          <cell r="M510" t="str">
            <v>01 VAN</v>
          </cell>
          <cell r="N510">
            <v>0.75</v>
          </cell>
        </row>
        <row r="511">
          <cell r="A511" t="str">
            <v>OXX1088598</v>
          </cell>
          <cell r="B511" t="str">
            <v>OXX</v>
          </cell>
          <cell r="C511">
            <v>1088598</v>
          </cell>
          <cell r="D511">
            <v>45156</v>
          </cell>
          <cell r="E511" t="str">
            <v>RUA ÁLVARES MACHADO , 675</v>
          </cell>
          <cell r="F511" t="str">
            <v>CONCEIÇÃO - CAMELÓDROMO</v>
          </cell>
          <cell r="G511" t="str">
            <v>CAMPINAS</v>
          </cell>
          <cell r="H511" t="str">
            <v>SP INT CPN</v>
          </cell>
          <cell r="I511" t="str">
            <v>P</v>
          </cell>
          <cell r="J511">
            <v>3</v>
          </cell>
          <cell r="K511" t="str">
            <v>DIURNO</v>
          </cell>
          <cell r="L511" t="str">
            <v>LETÍCIA/EVA</v>
          </cell>
          <cell r="M511" t="str">
            <v>NÃO</v>
          </cell>
          <cell r="N511" t="str">
            <v>NÃO</v>
          </cell>
        </row>
        <row r="512">
          <cell r="A512" t="str">
            <v>OXX1089005</v>
          </cell>
          <cell r="B512" t="str">
            <v>OXX</v>
          </cell>
          <cell r="C512">
            <v>1089005</v>
          </cell>
          <cell r="D512">
            <v>45156</v>
          </cell>
          <cell r="E512" t="str">
            <v>AV : CORONEL SILVA TELLES , 60</v>
          </cell>
          <cell r="F512" t="str">
            <v>CAMBUÍ - CREPS</v>
          </cell>
          <cell r="G512" t="str">
            <v>CAMPINAS</v>
          </cell>
          <cell r="H512" t="str">
            <v>SP INT CPN</v>
          </cell>
          <cell r="I512" t="str">
            <v>P</v>
          </cell>
          <cell r="J512">
            <v>3</v>
          </cell>
          <cell r="K512" t="str">
            <v>DIURNO</v>
          </cell>
          <cell r="L512" t="str">
            <v>IZABELA</v>
          </cell>
          <cell r="M512" t="str">
            <v>NÃO</v>
          </cell>
          <cell r="N512" t="str">
            <v>NÃO</v>
          </cell>
        </row>
        <row r="513">
          <cell r="A513" t="str">
            <v>SHX1088249</v>
          </cell>
          <cell r="B513" t="str">
            <v>SHX</v>
          </cell>
          <cell r="C513">
            <v>1088249</v>
          </cell>
          <cell r="D513">
            <v>45156</v>
          </cell>
          <cell r="E513" t="str">
            <v>AV : GETÚLIO VARGAS , 952</v>
          </cell>
          <cell r="F513" t="str">
            <v>RANCHO FELIZ - PORTAL DO PARQUE</v>
          </cell>
          <cell r="G513" t="str">
            <v>SALTO</v>
          </cell>
          <cell r="H513" t="str">
            <v>SP INT CPN</v>
          </cell>
          <cell r="I513" t="str">
            <v>P</v>
          </cell>
          <cell r="J513">
            <v>2</v>
          </cell>
          <cell r="K513" t="str">
            <v>DIURNO</v>
          </cell>
          <cell r="L513" t="str">
            <v>LEONARDO</v>
          </cell>
          <cell r="M513" t="str">
            <v>UBER</v>
          </cell>
          <cell r="N513">
            <v>0.29166666666666669</v>
          </cell>
        </row>
        <row r="514">
          <cell r="A514" t="str">
            <v>ASI24</v>
          </cell>
          <cell r="B514" t="str">
            <v>ASI</v>
          </cell>
          <cell r="C514">
            <v>24</v>
          </cell>
          <cell r="D514">
            <v>45156</v>
          </cell>
          <cell r="E514" t="str">
            <v>AV : TANCREDO NEVES , 450</v>
          </cell>
          <cell r="F514" t="str">
            <v>JD. CLARETE</v>
          </cell>
          <cell r="G514" t="str">
            <v>RIO CLARO</v>
          </cell>
          <cell r="H514" t="str">
            <v>SP INT LIMEIRA</v>
          </cell>
          <cell r="I514" t="str">
            <v>F</v>
          </cell>
          <cell r="J514">
            <v>10</v>
          </cell>
          <cell r="K514">
            <v>0</v>
          </cell>
          <cell r="L514" t="str">
            <v>GUSTAVO</v>
          </cell>
          <cell r="M514">
            <v>0</v>
          </cell>
          <cell r="N514">
            <v>0</v>
          </cell>
        </row>
        <row r="515">
          <cell r="A515" t="str">
            <v>EXS5744</v>
          </cell>
          <cell r="B515" t="str">
            <v>EXS</v>
          </cell>
          <cell r="C515">
            <v>5744</v>
          </cell>
          <cell r="D515">
            <v>45156</v>
          </cell>
          <cell r="E515" t="str">
            <v xml:space="preserve">RUA REGENTE FEIJÓ , 148      </v>
          </cell>
          <cell r="F515" t="str">
            <v>VILA SANTOS</v>
          </cell>
          <cell r="G515" t="str">
            <v>CAÇAPAVA</v>
          </cell>
          <cell r="H515" t="str">
            <v>SP INT SJC</v>
          </cell>
          <cell r="I515" t="str">
            <v>T</v>
          </cell>
          <cell r="J515">
            <v>28</v>
          </cell>
          <cell r="K515">
            <v>0</v>
          </cell>
          <cell r="L515" t="str">
            <v>JAÍNE/FELIPE/BRUNA</v>
          </cell>
          <cell r="M515" t="str">
            <v>02 VANS</v>
          </cell>
          <cell r="N515">
            <v>0.6875</v>
          </cell>
        </row>
        <row r="516">
          <cell r="A516" t="str">
            <v>APC116</v>
          </cell>
          <cell r="B516" t="str">
            <v>APC</v>
          </cell>
          <cell r="C516">
            <v>116</v>
          </cell>
          <cell r="D516">
            <v>45156</v>
          </cell>
          <cell r="E516" t="str">
            <v>AV : PADRE ANCHIETA , 1622</v>
          </cell>
          <cell r="F516" t="str">
            <v>CENTRO - NETUNO</v>
          </cell>
          <cell r="G516" t="str">
            <v>PERUÍBE</v>
          </cell>
          <cell r="H516" t="str">
            <v>SP LESTE</v>
          </cell>
          <cell r="I516" t="str">
            <v>T</v>
          </cell>
          <cell r="J516">
            <v>3</v>
          </cell>
          <cell r="K516" t="str">
            <v>DIURNO</v>
          </cell>
          <cell r="L516" t="str">
            <v>CHRIS</v>
          </cell>
          <cell r="M516" t="str">
            <v>01 CARRO ( LU )</v>
          </cell>
          <cell r="N516">
            <v>0.27083333333333331</v>
          </cell>
        </row>
        <row r="517">
          <cell r="A517" t="str">
            <v>DSP193</v>
          </cell>
          <cell r="B517" t="str">
            <v>DSP</v>
          </cell>
          <cell r="C517">
            <v>193</v>
          </cell>
          <cell r="D517">
            <v>45156</v>
          </cell>
          <cell r="E517" t="str">
            <v>RUA ITINGUÇU , 800</v>
          </cell>
          <cell r="F517" t="str">
            <v>VILA RÉ</v>
          </cell>
          <cell r="G517" t="str">
            <v>SÃO PAULO</v>
          </cell>
          <cell r="H517" t="str">
            <v>SP LESTE</v>
          </cell>
          <cell r="I517" t="str">
            <v>T</v>
          </cell>
          <cell r="J517">
            <v>11</v>
          </cell>
          <cell r="K517">
            <v>0</v>
          </cell>
          <cell r="L517" t="str">
            <v>JÉSSICA</v>
          </cell>
          <cell r="M517" t="str">
            <v>NÃO</v>
          </cell>
          <cell r="N517" t="str">
            <v>NÃO</v>
          </cell>
        </row>
        <row r="518">
          <cell r="A518" t="str">
            <v>PMO2</v>
          </cell>
          <cell r="B518" t="str">
            <v>PMO</v>
          </cell>
          <cell r="C518">
            <v>2</v>
          </cell>
          <cell r="D518">
            <v>45156</v>
          </cell>
          <cell r="E518" t="str">
            <v>AV : NOVA CANTAREIRA , 2320</v>
          </cell>
          <cell r="F518" t="str">
            <v>TUCURUVI</v>
          </cell>
          <cell r="G518" t="str">
            <v>SÃO PAULO</v>
          </cell>
          <cell r="H518" t="str">
            <v>SP LESTE</v>
          </cell>
          <cell r="I518" t="str">
            <v>T</v>
          </cell>
          <cell r="J518">
            <v>4</v>
          </cell>
          <cell r="K518">
            <v>0</v>
          </cell>
          <cell r="L518" t="str">
            <v>TAMIRES</v>
          </cell>
          <cell r="M518" t="str">
            <v>NÃO</v>
          </cell>
          <cell r="N518" t="str">
            <v>NÃO</v>
          </cell>
        </row>
        <row r="519">
          <cell r="A519" t="str">
            <v>OXX1089315</v>
          </cell>
          <cell r="B519" t="str">
            <v>OXX</v>
          </cell>
          <cell r="C519">
            <v>1089315</v>
          </cell>
          <cell r="D519">
            <v>45156</v>
          </cell>
          <cell r="E519" t="str">
            <v>AV : BRIG. LUÍS ANTÔNIO , 711</v>
          </cell>
          <cell r="F519" t="str">
            <v>BELA VISTA - PÉROLA</v>
          </cell>
          <cell r="G519" t="str">
            <v>SÃO PAULO</v>
          </cell>
          <cell r="H519" t="str">
            <v>SP LESTE X</v>
          </cell>
          <cell r="I519" t="str">
            <v>P</v>
          </cell>
          <cell r="J519">
            <v>3</v>
          </cell>
          <cell r="K519" t="str">
            <v>DIURNO</v>
          </cell>
          <cell r="L519" t="str">
            <v>GAMA</v>
          </cell>
          <cell r="M519" t="str">
            <v>NÃO</v>
          </cell>
          <cell r="N519" t="str">
            <v>NÃO</v>
          </cell>
        </row>
        <row r="520">
          <cell r="A520" t="str">
            <v>OXX1093795</v>
          </cell>
          <cell r="B520" t="str">
            <v>OXX</v>
          </cell>
          <cell r="C520">
            <v>1093795</v>
          </cell>
          <cell r="D520">
            <v>45156</v>
          </cell>
          <cell r="E520" t="str">
            <v>ALAMEDA JOAQUIM EUGÊNIO DE LIMA , 212</v>
          </cell>
          <cell r="F520" t="str">
            <v>BELA VISTA - PRIME</v>
          </cell>
          <cell r="G520" t="str">
            <v>SÃO PAULO</v>
          </cell>
          <cell r="H520" t="str">
            <v>SP LESTE X</v>
          </cell>
          <cell r="I520" t="str">
            <v>P</v>
          </cell>
          <cell r="J520">
            <v>3</v>
          </cell>
          <cell r="K520" t="str">
            <v>DIURNO</v>
          </cell>
          <cell r="L520" t="str">
            <v>ARTHUR</v>
          </cell>
          <cell r="M520" t="str">
            <v>NÃO</v>
          </cell>
          <cell r="N520" t="str">
            <v>NÃO</v>
          </cell>
        </row>
        <row r="521">
          <cell r="A521" t="str">
            <v>HNTN011</v>
          </cell>
          <cell r="B521" t="str">
            <v>HNT</v>
          </cell>
          <cell r="C521" t="str">
            <v>N011</v>
          </cell>
          <cell r="D521">
            <v>45156</v>
          </cell>
          <cell r="E521" t="str">
            <v>RUA DOS PATRIOTAS , 874</v>
          </cell>
          <cell r="F521" t="str">
            <v>IPIRANGA</v>
          </cell>
          <cell r="G521" t="str">
            <v>SÃO PAULO</v>
          </cell>
          <cell r="H521" t="str">
            <v>SP SUL</v>
          </cell>
          <cell r="I521" t="str">
            <v>T</v>
          </cell>
          <cell r="J521">
            <v>12</v>
          </cell>
          <cell r="K521">
            <v>0</v>
          </cell>
          <cell r="L521" t="str">
            <v>ELAINE</v>
          </cell>
          <cell r="M521" t="str">
            <v>NÃO</v>
          </cell>
          <cell r="N521" t="str">
            <v>NÃO</v>
          </cell>
        </row>
        <row r="522">
          <cell r="A522" t="str">
            <v>HNTN016</v>
          </cell>
          <cell r="B522" t="str">
            <v>HNT</v>
          </cell>
          <cell r="C522" t="str">
            <v>N016</v>
          </cell>
          <cell r="D522">
            <v>45156</v>
          </cell>
          <cell r="E522" t="str">
            <v>RUA ENG. JORGE OLIVA , 381</v>
          </cell>
          <cell r="F522" t="str">
            <v>VILA MASCOTE</v>
          </cell>
          <cell r="G522" t="str">
            <v>SÃO PAULO</v>
          </cell>
          <cell r="H522" t="str">
            <v>SP SUL</v>
          </cell>
          <cell r="I522" t="str">
            <v>T</v>
          </cell>
          <cell r="J522">
            <v>22</v>
          </cell>
          <cell r="K522">
            <v>0</v>
          </cell>
          <cell r="L522" t="str">
            <v>VIANA</v>
          </cell>
          <cell r="M522" t="str">
            <v>NÃO</v>
          </cell>
          <cell r="N522" t="str">
            <v>NÃO</v>
          </cell>
        </row>
        <row r="523">
          <cell r="A523" t="str">
            <v>OXX1099206</v>
          </cell>
          <cell r="B523" t="str">
            <v>OXX</v>
          </cell>
          <cell r="C523">
            <v>1099206</v>
          </cell>
          <cell r="D523">
            <v>45156</v>
          </cell>
          <cell r="E523" t="str">
            <v>RUA CLAUDIO MANOEL DA COSTA , 25</v>
          </cell>
          <cell r="F523" t="str">
            <v>VILA OSASCO - COSTA</v>
          </cell>
          <cell r="G523" t="str">
            <v>OSASCO</v>
          </cell>
          <cell r="H523" t="str">
            <v>SP SUL X</v>
          </cell>
          <cell r="I523" t="str">
            <v>P</v>
          </cell>
          <cell r="J523">
            <v>3</v>
          </cell>
          <cell r="K523" t="str">
            <v>DIURNO</v>
          </cell>
          <cell r="L523" t="str">
            <v>RAYANE</v>
          </cell>
          <cell r="M523" t="str">
            <v>UBER</v>
          </cell>
          <cell r="N523">
            <v>0.3125</v>
          </cell>
        </row>
        <row r="524">
          <cell r="A524" t="str">
            <v>OXX1100381</v>
          </cell>
          <cell r="B524" t="str">
            <v>OXX</v>
          </cell>
          <cell r="C524">
            <v>1100381</v>
          </cell>
          <cell r="D524">
            <v>45156</v>
          </cell>
          <cell r="E524" t="str">
            <v>AV : SÃO GABRIEL , 521</v>
          </cell>
          <cell r="F524" t="str">
            <v>JD. PAULISTA - ARCANJO</v>
          </cell>
          <cell r="G524" t="str">
            <v>SÃO PAULO</v>
          </cell>
          <cell r="H524" t="str">
            <v>SP SUL X</v>
          </cell>
          <cell r="I524" t="str">
            <v>P</v>
          </cell>
          <cell r="J524">
            <v>3</v>
          </cell>
          <cell r="K524" t="str">
            <v>DIURNO</v>
          </cell>
          <cell r="L524" t="str">
            <v>RAFAEL</v>
          </cell>
          <cell r="M524" t="str">
            <v>NÃO</v>
          </cell>
          <cell r="N524" t="str">
            <v>NÃO</v>
          </cell>
        </row>
        <row r="525">
          <cell r="A525" t="str">
            <v>SHX1085654</v>
          </cell>
          <cell r="B525" t="str">
            <v>SHX</v>
          </cell>
          <cell r="C525">
            <v>1085654</v>
          </cell>
          <cell r="D525">
            <v>45156</v>
          </cell>
          <cell r="E525" t="str">
            <v>AV : SAMUEL MARTINS , 1543</v>
          </cell>
          <cell r="F525" t="str">
            <v>JD. DO LAGO - PROGRESSO</v>
          </cell>
          <cell r="G525" t="str">
            <v>JUNDIAÍ</v>
          </cell>
          <cell r="H525" t="str">
            <v>SP SUL X</v>
          </cell>
          <cell r="I525" t="str">
            <v>P</v>
          </cell>
          <cell r="J525">
            <v>2</v>
          </cell>
          <cell r="K525" t="str">
            <v>DIURNO</v>
          </cell>
          <cell r="L525" t="str">
            <v>ANDRÉ</v>
          </cell>
          <cell r="M525" t="str">
            <v>01 CARRO ( EDSON )</v>
          </cell>
          <cell r="N525">
            <v>0.27083333333333331</v>
          </cell>
        </row>
        <row r="526">
          <cell r="A526" t="str">
            <v/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 t="str">
            <v>Total</v>
          </cell>
          <cell r="J526">
            <v>166</v>
          </cell>
          <cell r="K526">
            <v>424</v>
          </cell>
          <cell r="L526">
            <v>0</v>
          </cell>
          <cell r="M526">
            <v>0</v>
          </cell>
          <cell r="N526">
            <v>0</v>
          </cell>
        </row>
        <row r="527">
          <cell r="A527" t="str">
            <v/>
          </cell>
          <cell r="B527">
            <v>0</v>
          </cell>
          <cell r="C527">
            <v>0</v>
          </cell>
          <cell r="D527">
            <v>0</v>
          </cell>
          <cell r="E527">
            <v>45157</v>
          </cell>
          <cell r="F527" t="str">
            <v>SÁBADO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A528" t="str">
            <v>ASI28</v>
          </cell>
          <cell r="B528" t="str">
            <v>ASI</v>
          </cell>
          <cell r="C528">
            <v>28</v>
          </cell>
          <cell r="D528">
            <v>45157</v>
          </cell>
          <cell r="E528" t="str">
            <v>ESTRADA DE JACAREPAGUÁ , 7753</v>
          </cell>
          <cell r="F528" t="str">
            <v>JACAREPAGUÁ</v>
          </cell>
          <cell r="G528" t="str">
            <v>RIO DE JANEIRO</v>
          </cell>
          <cell r="H528" t="str">
            <v>RJ</v>
          </cell>
          <cell r="I528" t="str">
            <v>CA</v>
          </cell>
          <cell r="J528">
            <v>25</v>
          </cell>
          <cell r="K528">
            <v>0</v>
          </cell>
          <cell r="L528" t="str">
            <v>MICHELE/ANTÔNIO</v>
          </cell>
          <cell r="M528" t="str">
            <v>NÃO</v>
          </cell>
          <cell r="N528" t="str">
            <v>NÃO</v>
          </cell>
        </row>
        <row r="529">
          <cell r="A529" t="str">
            <v>ASI24</v>
          </cell>
          <cell r="B529" t="str">
            <v>ASI</v>
          </cell>
          <cell r="C529">
            <v>24</v>
          </cell>
          <cell r="D529">
            <v>45157</v>
          </cell>
          <cell r="E529" t="str">
            <v>AV : TANCREDO NEVES , 450</v>
          </cell>
          <cell r="F529" t="str">
            <v>JD. CLARETE</v>
          </cell>
          <cell r="G529" t="str">
            <v>RIO CLARO</v>
          </cell>
          <cell r="H529" t="str">
            <v>SP INT BAURU</v>
          </cell>
          <cell r="I529" t="str">
            <v>APOIO</v>
          </cell>
          <cell r="J529">
            <v>15</v>
          </cell>
          <cell r="K529" t="str">
            <v>DIURNO</v>
          </cell>
          <cell r="L529" t="str">
            <v>ROSÂNGELA</v>
          </cell>
          <cell r="M529" t="str">
            <v>01 VAN</v>
          </cell>
          <cell r="N529">
            <v>0.29166666666666669</v>
          </cell>
        </row>
        <row r="530">
          <cell r="A530" t="str">
            <v>ASI24</v>
          </cell>
          <cell r="B530" t="str">
            <v>ASI</v>
          </cell>
          <cell r="C530">
            <v>24</v>
          </cell>
          <cell r="D530">
            <v>45157</v>
          </cell>
          <cell r="E530" t="str">
            <v>AV : TANCREDO NEVES , 450</v>
          </cell>
          <cell r="F530" t="str">
            <v>JD. CLARETE</v>
          </cell>
          <cell r="G530" t="str">
            <v>RIO CLARO</v>
          </cell>
          <cell r="H530" t="str">
            <v>SP INT LIMEIRA</v>
          </cell>
          <cell r="I530" t="str">
            <v>CA</v>
          </cell>
          <cell r="J530">
            <v>10</v>
          </cell>
          <cell r="K530" t="str">
            <v>DIURNO - APOIO BAURU</v>
          </cell>
          <cell r="L530" t="str">
            <v>GUSTAVO</v>
          </cell>
          <cell r="M530" t="str">
            <v>01 VAN</v>
          </cell>
          <cell r="N530">
            <v>0.33333333333333331</v>
          </cell>
        </row>
        <row r="531">
          <cell r="A531" t="str">
            <v>ASI24</v>
          </cell>
          <cell r="B531" t="str">
            <v>ASI</v>
          </cell>
          <cell r="C531">
            <v>24</v>
          </cell>
          <cell r="D531">
            <v>45157</v>
          </cell>
          <cell r="E531" t="str">
            <v>AV : TANCREDO NEVES , 450</v>
          </cell>
          <cell r="F531" t="str">
            <v>JD. CLARETE</v>
          </cell>
          <cell r="G531" t="str">
            <v>RIO CLARO</v>
          </cell>
          <cell r="H531" t="str">
            <v>SP INT LIMEIRA</v>
          </cell>
          <cell r="I531" t="str">
            <v>CA</v>
          </cell>
          <cell r="J531">
            <v>5</v>
          </cell>
          <cell r="K531">
            <v>0</v>
          </cell>
          <cell r="L531" t="str">
            <v>EMERSON</v>
          </cell>
          <cell r="M531" t="str">
            <v>01 CARRO</v>
          </cell>
          <cell r="N531">
            <v>0.70833333333333337</v>
          </cell>
        </row>
        <row r="532">
          <cell r="A532" t="str">
            <v>STY6</v>
          </cell>
          <cell r="B532" t="str">
            <v>STY</v>
          </cell>
          <cell r="C532">
            <v>6</v>
          </cell>
          <cell r="D532">
            <v>45157</v>
          </cell>
          <cell r="E532" t="str">
            <v>RUA MAJOR BENJAMIN FRANCO , 555</v>
          </cell>
          <cell r="F532" t="str">
            <v>JD. VITÓRIA</v>
          </cell>
          <cell r="G532" t="str">
            <v>ARUJÁ</v>
          </cell>
          <cell r="H532" t="str">
            <v>SP INT SJC</v>
          </cell>
          <cell r="I532" t="str">
            <v>P</v>
          </cell>
          <cell r="J532">
            <v>40</v>
          </cell>
          <cell r="K532">
            <v>0</v>
          </cell>
          <cell r="L532" t="str">
            <v>JAÍNE/FELIPE/BRUNA</v>
          </cell>
          <cell r="M532" t="str">
            <v>02 VANS</v>
          </cell>
          <cell r="N532">
            <v>0.83333333333333337</v>
          </cell>
        </row>
        <row r="533">
          <cell r="A533" t="str">
            <v>ASI121</v>
          </cell>
          <cell r="B533" t="str">
            <v>ASI</v>
          </cell>
          <cell r="C533">
            <v>121</v>
          </cell>
          <cell r="D533">
            <v>45157</v>
          </cell>
          <cell r="E533" t="str">
            <v>AV : DR. SEBASTIÃO HENRIQUE DA CUNHA PONTES , 4600</v>
          </cell>
          <cell r="F533" t="str">
            <v>JD. DAS PALMEIRAS</v>
          </cell>
          <cell r="G533" t="str">
            <v>SÃO JOSÉ DOS CAMPOS</v>
          </cell>
          <cell r="H533" t="str">
            <v>SP LESTE</v>
          </cell>
          <cell r="I533" t="str">
            <v>CA</v>
          </cell>
          <cell r="J533">
            <v>25</v>
          </cell>
          <cell r="K533">
            <v>0</v>
          </cell>
          <cell r="L533" t="str">
            <v>PATRÍCIA/LUANA/LUÍS</v>
          </cell>
          <cell r="M533" t="str">
            <v>02 VANS</v>
          </cell>
          <cell r="N533">
            <v>0.66666666666666663</v>
          </cell>
        </row>
        <row r="534">
          <cell r="A534" t="str">
            <v>AKK8</v>
          </cell>
          <cell r="B534" t="str">
            <v>AKK</v>
          </cell>
          <cell r="C534">
            <v>8</v>
          </cell>
          <cell r="D534">
            <v>45157</v>
          </cell>
          <cell r="E534" t="str">
            <v>RUA FRANCISCO ENÊS , 21</v>
          </cell>
          <cell r="F534" t="str">
            <v>PEDREIRA</v>
          </cell>
          <cell r="G534" t="str">
            <v>SÃO PAULO</v>
          </cell>
          <cell r="H534" t="str">
            <v>SP SUL</v>
          </cell>
          <cell r="I534" t="str">
            <v>CA</v>
          </cell>
          <cell r="J534">
            <v>25</v>
          </cell>
          <cell r="K534">
            <v>0</v>
          </cell>
          <cell r="L534" t="str">
            <v>VIANA/RUAN</v>
          </cell>
          <cell r="M534" t="str">
            <v>NÃO</v>
          </cell>
          <cell r="N534" t="str">
            <v>NÃO</v>
          </cell>
        </row>
        <row r="535">
          <cell r="A535" t="str">
            <v>ASI10</v>
          </cell>
          <cell r="B535" t="str">
            <v>ASI</v>
          </cell>
          <cell r="C535">
            <v>10</v>
          </cell>
          <cell r="D535">
            <v>45157</v>
          </cell>
          <cell r="E535" t="str">
            <v>AV : PIRAPORINHA , 600</v>
          </cell>
          <cell r="F535" t="str">
            <v>PLANALTO</v>
          </cell>
          <cell r="G535" t="str">
            <v>SÃO BERNARDO DO CAMPO</v>
          </cell>
          <cell r="H535" t="str">
            <v>SP SUL</v>
          </cell>
          <cell r="I535" t="str">
            <v>CA</v>
          </cell>
          <cell r="J535">
            <v>30</v>
          </cell>
          <cell r="K535">
            <v>0</v>
          </cell>
          <cell r="L535" t="str">
            <v>CAMILA/JUSCELINO</v>
          </cell>
          <cell r="M535" t="str">
            <v>02 VANS</v>
          </cell>
          <cell r="N535">
            <v>0.6875</v>
          </cell>
        </row>
        <row r="536">
          <cell r="A536" t="str">
            <v/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 t="str">
            <v>Total</v>
          </cell>
          <cell r="J536">
            <v>175</v>
          </cell>
          <cell r="K536">
            <v>415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/>
          </cell>
          <cell r="B537">
            <v>0</v>
          </cell>
          <cell r="C537">
            <v>0</v>
          </cell>
          <cell r="D537">
            <v>0</v>
          </cell>
          <cell r="E537">
            <v>45158</v>
          </cell>
          <cell r="F537" t="str">
            <v>DOMINGO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AGC13</v>
          </cell>
          <cell r="B538" t="str">
            <v>AGC</v>
          </cell>
          <cell r="C538">
            <v>13</v>
          </cell>
          <cell r="D538">
            <v>45158</v>
          </cell>
          <cell r="E538" t="str">
            <v>RUA IZAAC FERREIRA DA CRUZ , 1440</v>
          </cell>
          <cell r="F538" t="str">
            <v>PINHEIRINHO</v>
          </cell>
          <cell r="G538" t="str">
            <v>CURITIBA</v>
          </cell>
          <cell r="H538" t="str">
            <v>PR CURITIBA</v>
          </cell>
          <cell r="I538" t="str">
            <v>T</v>
          </cell>
          <cell r="J538">
            <v>14</v>
          </cell>
          <cell r="K538">
            <v>0</v>
          </cell>
          <cell r="L538" t="str">
            <v>HENRIQUE</v>
          </cell>
          <cell r="M538" t="str">
            <v>NÃO</v>
          </cell>
          <cell r="N538" t="str">
            <v>NÃO</v>
          </cell>
        </row>
        <row r="539">
          <cell r="A539" t="str">
            <v>ASI28</v>
          </cell>
          <cell r="B539" t="str">
            <v>ASI</v>
          </cell>
          <cell r="C539">
            <v>28</v>
          </cell>
          <cell r="D539">
            <v>45158</v>
          </cell>
          <cell r="E539" t="str">
            <v>ESTRADA DE JACAREPAGUÁ , 7753</v>
          </cell>
          <cell r="F539" t="str">
            <v>JACAREPAGUÁ</v>
          </cell>
          <cell r="G539" t="str">
            <v>RIO DE JANEIRO</v>
          </cell>
          <cell r="H539" t="str">
            <v>RJ</v>
          </cell>
          <cell r="I539" t="str">
            <v>CP</v>
          </cell>
          <cell r="J539">
            <v>1</v>
          </cell>
          <cell r="K539" t="str">
            <v>DIURNO</v>
          </cell>
          <cell r="L539" t="str">
            <v>SHIRLEY</v>
          </cell>
          <cell r="M539" t="str">
            <v>NÃO</v>
          </cell>
          <cell r="N539" t="str">
            <v>NÃO</v>
          </cell>
        </row>
        <row r="540">
          <cell r="A540" t="str">
            <v>ASI28</v>
          </cell>
          <cell r="B540" t="str">
            <v>ASI</v>
          </cell>
          <cell r="C540">
            <v>28</v>
          </cell>
          <cell r="D540">
            <v>45158</v>
          </cell>
          <cell r="E540" t="str">
            <v>ESTRADA DE JACAREPAGUÁ , 7753</v>
          </cell>
          <cell r="F540" t="str">
            <v>JACAREPAGUÁ</v>
          </cell>
          <cell r="G540" t="str">
            <v>RIO DE JANEIRO</v>
          </cell>
          <cell r="H540" t="str">
            <v>RJ</v>
          </cell>
          <cell r="I540" t="str">
            <v>T</v>
          </cell>
          <cell r="J540">
            <v>34</v>
          </cell>
          <cell r="K540">
            <v>0</v>
          </cell>
          <cell r="L540" t="str">
            <v>MICHELE/ANTÔNIO</v>
          </cell>
          <cell r="M540" t="str">
            <v>NÃO</v>
          </cell>
          <cell r="N540" t="str">
            <v>NÃO</v>
          </cell>
        </row>
        <row r="541">
          <cell r="A541" t="str">
            <v>ASI24</v>
          </cell>
          <cell r="B541" t="str">
            <v>ASI</v>
          </cell>
          <cell r="C541">
            <v>24</v>
          </cell>
          <cell r="D541">
            <v>45158</v>
          </cell>
          <cell r="E541" t="str">
            <v>AV : TANCREDO NEVES , 450</v>
          </cell>
          <cell r="F541" t="str">
            <v>JD. CLARETE</v>
          </cell>
          <cell r="G541" t="str">
            <v>RIO CLARO</v>
          </cell>
          <cell r="H541" t="str">
            <v>SP INT BAURU</v>
          </cell>
          <cell r="I541" t="str">
            <v>APOIO</v>
          </cell>
          <cell r="J541">
            <v>15</v>
          </cell>
          <cell r="K541">
            <v>0</v>
          </cell>
          <cell r="L541" t="str">
            <v>ROSÂNGELA</v>
          </cell>
          <cell r="M541" t="str">
            <v>01 VAN</v>
          </cell>
          <cell r="N541">
            <v>0.64583333333333337</v>
          </cell>
        </row>
        <row r="542">
          <cell r="A542" t="str">
            <v>ASI24</v>
          </cell>
          <cell r="B542" t="str">
            <v>ASI</v>
          </cell>
          <cell r="C542">
            <v>24</v>
          </cell>
          <cell r="D542">
            <v>45158</v>
          </cell>
          <cell r="E542" t="str">
            <v>AV : TANCREDO NEVES , 450</v>
          </cell>
          <cell r="F542" t="str">
            <v>JD. CLARETE</v>
          </cell>
          <cell r="G542" t="str">
            <v>RIO CLARO</v>
          </cell>
          <cell r="H542" t="str">
            <v>SP INT LIMEIRA</v>
          </cell>
          <cell r="I542" t="str">
            <v>CP</v>
          </cell>
          <cell r="J542">
            <v>1</v>
          </cell>
          <cell r="K542" t="str">
            <v>DIURNO</v>
          </cell>
          <cell r="L542" t="str">
            <v>A DEFINIR</v>
          </cell>
          <cell r="M542" t="str">
            <v>UBER</v>
          </cell>
          <cell r="N542">
            <v>0.25</v>
          </cell>
        </row>
        <row r="543">
          <cell r="A543" t="str">
            <v>ASI24</v>
          </cell>
          <cell r="B543" t="str">
            <v>ASI</v>
          </cell>
          <cell r="C543">
            <v>24</v>
          </cell>
          <cell r="D543">
            <v>45158</v>
          </cell>
          <cell r="E543" t="str">
            <v>AV : TANCREDO NEVES , 450</v>
          </cell>
          <cell r="F543" t="str">
            <v>JD. CLARETE</v>
          </cell>
          <cell r="G543" t="str">
            <v>RIO CLARO</v>
          </cell>
          <cell r="H543" t="str">
            <v>SP INT LIMEIRA</v>
          </cell>
          <cell r="I543" t="str">
            <v>T</v>
          </cell>
          <cell r="J543">
            <v>19</v>
          </cell>
          <cell r="K543" t="str">
            <v>APOIO BAURU e LESTE</v>
          </cell>
          <cell r="L543" t="str">
            <v>GUSTAVO</v>
          </cell>
          <cell r="M543" t="str">
            <v>01 VAN e 01 CARRO</v>
          </cell>
          <cell r="N543">
            <v>0.6875</v>
          </cell>
        </row>
        <row r="544">
          <cell r="A544" t="str">
            <v>ASI10</v>
          </cell>
          <cell r="B544" t="str">
            <v>ASI</v>
          </cell>
          <cell r="C544">
            <v>10</v>
          </cell>
          <cell r="D544">
            <v>45158</v>
          </cell>
          <cell r="E544" t="str">
            <v>AV : PIRAPORINHA , 600</v>
          </cell>
          <cell r="F544" t="str">
            <v>PLANALTO</v>
          </cell>
          <cell r="G544" t="str">
            <v>SÃO BERNARDO DO CAMPO</v>
          </cell>
          <cell r="H544" t="str">
            <v>SP LESTE</v>
          </cell>
          <cell r="I544" t="str">
            <v>APOIO</v>
          </cell>
          <cell r="J544">
            <v>15</v>
          </cell>
          <cell r="K544">
            <v>0</v>
          </cell>
          <cell r="L544" t="str">
            <v>CARINA/CHRIS</v>
          </cell>
          <cell r="M544" t="str">
            <v>01 VAN</v>
          </cell>
          <cell r="N544">
            <v>0.6875</v>
          </cell>
        </row>
        <row r="545">
          <cell r="A545" t="str">
            <v>ASI24</v>
          </cell>
          <cell r="B545" t="str">
            <v>ASI</v>
          </cell>
          <cell r="C545">
            <v>24</v>
          </cell>
          <cell r="D545">
            <v>45158</v>
          </cell>
          <cell r="E545" t="str">
            <v>AV : TANCREDO NEVES , 450</v>
          </cell>
          <cell r="F545" t="str">
            <v>JD. CLARETE</v>
          </cell>
          <cell r="G545" t="str">
            <v>RIO CLARO</v>
          </cell>
          <cell r="H545" t="str">
            <v>SP LESTE</v>
          </cell>
          <cell r="I545" t="str">
            <v>APOIO</v>
          </cell>
          <cell r="J545">
            <v>15</v>
          </cell>
          <cell r="K545">
            <v>0</v>
          </cell>
          <cell r="L545" t="str">
            <v>KAIQUE</v>
          </cell>
          <cell r="M545" t="str">
            <v>01 VAN</v>
          </cell>
          <cell r="N545">
            <v>0.66666666666666663</v>
          </cell>
        </row>
        <row r="546">
          <cell r="A546" t="str">
            <v>ASI121</v>
          </cell>
          <cell r="B546" t="str">
            <v>ASI</v>
          </cell>
          <cell r="C546">
            <v>121</v>
          </cell>
          <cell r="D546">
            <v>45158</v>
          </cell>
          <cell r="E546" t="str">
            <v>AV : DR. SEBASTIÃO HENRIQUE DA CUNHA PONTES , 4600</v>
          </cell>
          <cell r="F546" t="str">
            <v>JD. DAS PALMEIRAS</v>
          </cell>
          <cell r="G546" t="str">
            <v>SÃO JOSÉ DOS CAMPOS</v>
          </cell>
          <cell r="H546" t="str">
            <v>SP LESTE</v>
          </cell>
          <cell r="I546" t="str">
            <v>CP</v>
          </cell>
          <cell r="J546">
            <v>1</v>
          </cell>
          <cell r="K546" t="str">
            <v>DIURNO</v>
          </cell>
          <cell r="L546" t="str">
            <v>GINA</v>
          </cell>
          <cell r="M546" t="str">
            <v>UBER</v>
          </cell>
          <cell r="N546">
            <v>0.25</v>
          </cell>
        </row>
        <row r="547">
          <cell r="A547" t="str">
            <v>ASI121</v>
          </cell>
          <cell r="B547" t="str">
            <v>ASI</v>
          </cell>
          <cell r="C547">
            <v>121</v>
          </cell>
          <cell r="D547">
            <v>45158</v>
          </cell>
          <cell r="E547" t="str">
            <v>AV : DR. SEBASTIÃO HENRIQUE DA CUNHA PONTES , 4600</v>
          </cell>
          <cell r="F547" t="str">
            <v>JD. DAS PALMEIRAS</v>
          </cell>
          <cell r="G547" t="str">
            <v>SÃO JOSÉ DOS CAMPOS</v>
          </cell>
          <cell r="H547" t="str">
            <v>SP LESTE</v>
          </cell>
          <cell r="I547" t="str">
            <v>T</v>
          </cell>
          <cell r="J547">
            <v>34</v>
          </cell>
          <cell r="K547">
            <v>0</v>
          </cell>
          <cell r="L547" t="str">
            <v>PATRÍCIA/LUANA/LUÍS</v>
          </cell>
          <cell r="M547" t="str">
            <v>02 VANS e 01 CARRO</v>
          </cell>
          <cell r="N547">
            <v>0.66666666666666663</v>
          </cell>
        </row>
        <row r="548">
          <cell r="A548" t="str">
            <v>PDA2381</v>
          </cell>
          <cell r="B548" t="str">
            <v>PDA</v>
          </cell>
          <cell r="C548">
            <v>2381</v>
          </cell>
          <cell r="D548">
            <v>45158</v>
          </cell>
          <cell r="E548" t="str">
            <v xml:space="preserve">AV : MARTE , 624 </v>
          </cell>
          <cell r="F548" t="str">
            <v>ALPHAVILLE</v>
          </cell>
          <cell r="G548" t="str">
            <v>SANTANA DE PARNAÍBA</v>
          </cell>
          <cell r="H548" t="str">
            <v>SP LESTE</v>
          </cell>
          <cell r="I548" t="str">
            <v>F</v>
          </cell>
          <cell r="J548">
            <v>4</v>
          </cell>
          <cell r="K548">
            <v>0</v>
          </cell>
          <cell r="L548" t="str">
            <v>ANDERSON</v>
          </cell>
          <cell r="M548">
            <v>0</v>
          </cell>
          <cell r="N548">
            <v>0</v>
          </cell>
        </row>
        <row r="549">
          <cell r="A549" t="str">
            <v>AKK8</v>
          </cell>
          <cell r="B549" t="str">
            <v>AKK</v>
          </cell>
          <cell r="C549">
            <v>8</v>
          </cell>
          <cell r="D549">
            <v>45158</v>
          </cell>
          <cell r="E549" t="str">
            <v>RUA FRANCISCO ENÊS , 21</v>
          </cell>
          <cell r="F549" t="str">
            <v>PEDREIRA</v>
          </cell>
          <cell r="G549" t="str">
            <v>SÃO PAULO</v>
          </cell>
          <cell r="H549" t="str">
            <v>SP SUL</v>
          </cell>
          <cell r="I549" t="str">
            <v>CP</v>
          </cell>
          <cell r="J549">
            <v>1</v>
          </cell>
          <cell r="K549" t="str">
            <v>DIURNO</v>
          </cell>
          <cell r="L549" t="str">
            <v>ANDRÉ</v>
          </cell>
          <cell r="M549" t="str">
            <v>NÃO</v>
          </cell>
          <cell r="N549" t="str">
            <v>NÃO</v>
          </cell>
        </row>
        <row r="550">
          <cell r="A550" t="str">
            <v>AKK8</v>
          </cell>
          <cell r="B550" t="str">
            <v>AKK</v>
          </cell>
          <cell r="C550">
            <v>8</v>
          </cell>
          <cell r="D550">
            <v>45158</v>
          </cell>
          <cell r="E550" t="str">
            <v>RUA FRANCISCO ENÊS , 21</v>
          </cell>
          <cell r="F550" t="str">
            <v>PEDREIRA</v>
          </cell>
          <cell r="G550" t="str">
            <v>SÃO PAULO</v>
          </cell>
          <cell r="H550" t="str">
            <v>SP SUL</v>
          </cell>
          <cell r="I550" t="str">
            <v>T</v>
          </cell>
          <cell r="J550">
            <v>45</v>
          </cell>
          <cell r="K550">
            <v>0</v>
          </cell>
          <cell r="L550" t="str">
            <v>VIANA/RUAN</v>
          </cell>
          <cell r="M550" t="str">
            <v>NÃO</v>
          </cell>
          <cell r="N550" t="str">
            <v>NÃO</v>
          </cell>
        </row>
        <row r="551">
          <cell r="A551" t="str">
            <v>ASI10</v>
          </cell>
          <cell r="B551" t="str">
            <v>ASI</v>
          </cell>
          <cell r="C551">
            <v>10</v>
          </cell>
          <cell r="D551">
            <v>45158</v>
          </cell>
          <cell r="E551" t="str">
            <v>AV : PIRAPORINHA , 600</v>
          </cell>
          <cell r="F551" t="str">
            <v>PLANALTO</v>
          </cell>
          <cell r="G551" t="str">
            <v>SÃO BERNARDO DO CAMPO</v>
          </cell>
          <cell r="H551" t="str">
            <v>SP SUL</v>
          </cell>
          <cell r="I551" t="str">
            <v>CP</v>
          </cell>
          <cell r="J551">
            <v>1</v>
          </cell>
          <cell r="K551" t="str">
            <v>DIURNO</v>
          </cell>
          <cell r="L551" t="str">
            <v>NATHALIA</v>
          </cell>
          <cell r="M551" t="str">
            <v>UBER</v>
          </cell>
          <cell r="N551">
            <v>0.27083333333333331</v>
          </cell>
        </row>
        <row r="552">
          <cell r="A552" t="str">
            <v>ASI10</v>
          </cell>
          <cell r="B552" t="str">
            <v>ASI</v>
          </cell>
          <cell r="C552">
            <v>10</v>
          </cell>
          <cell r="D552">
            <v>45158</v>
          </cell>
          <cell r="E552" t="str">
            <v>AV : PIRAPORINHA , 600</v>
          </cell>
          <cell r="F552" t="str">
            <v>PLANALTO</v>
          </cell>
          <cell r="G552" t="str">
            <v>SÃO BERNARDO DO CAMPO</v>
          </cell>
          <cell r="H552" t="str">
            <v>SP SUL</v>
          </cell>
          <cell r="I552" t="str">
            <v>T</v>
          </cell>
          <cell r="J552">
            <v>29</v>
          </cell>
          <cell r="K552" t="str">
            <v>APOIO LESTE</v>
          </cell>
          <cell r="L552" t="str">
            <v>CAMILA/JUSCELINO</v>
          </cell>
          <cell r="M552" t="str">
            <v>02 VANS</v>
          </cell>
          <cell r="N552">
            <v>0.6875</v>
          </cell>
        </row>
        <row r="553">
          <cell r="A553" t="str">
            <v/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 t="str">
            <v>Total</v>
          </cell>
          <cell r="J553">
            <v>229</v>
          </cell>
          <cell r="K553">
            <v>361</v>
          </cell>
          <cell r="L553">
            <v>0</v>
          </cell>
          <cell r="M553">
            <v>0</v>
          </cell>
          <cell r="N553">
            <v>0</v>
          </cell>
        </row>
        <row r="554">
          <cell r="A554" t="str">
            <v/>
          </cell>
          <cell r="B554">
            <v>0</v>
          </cell>
          <cell r="C554">
            <v>0</v>
          </cell>
          <cell r="D554">
            <v>0</v>
          </cell>
          <cell r="E554">
            <v>45159</v>
          </cell>
          <cell r="F554" t="str">
            <v>SEGUNDA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A555" t="str">
            <v>FSJ119</v>
          </cell>
          <cell r="B555" t="str">
            <v>FSJ</v>
          </cell>
          <cell r="C555">
            <v>119</v>
          </cell>
          <cell r="D555">
            <v>45159</v>
          </cell>
          <cell r="E555" t="str">
            <v xml:space="preserve">AV : BENTO GONÇALVES , 4193 </v>
          </cell>
          <cell r="F555" t="str">
            <v>CENTRO - PEL 05</v>
          </cell>
          <cell r="G555" t="str">
            <v>PELOTAS</v>
          </cell>
          <cell r="H555" t="str">
            <v>PORTO ALEGRE</v>
          </cell>
          <cell r="I555" t="str">
            <v>T</v>
          </cell>
          <cell r="J555">
            <v>12</v>
          </cell>
          <cell r="K555" t="str">
            <v>EQ. PELOTAS</v>
          </cell>
          <cell r="L555" t="str">
            <v>PATRINE</v>
          </cell>
          <cell r="M555" t="str">
            <v>NÃO</v>
          </cell>
          <cell r="N555" t="str">
            <v>NÃO</v>
          </cell>
        </row>
        <row r="556">
          <cell r="A556" t="str">
            <v>NAC1486</v>
          </cell>
          <cell r="B556" t="str">
            <v>NAC</v>
          </cell>
          <cell r="C556">
            <v>1486</v>
          </cell>
          <cell r="D556">
            <v>45159</v>
          </cell>
          <cell r="E556" t="str">
            <v>AV : AURELIANO DE FIGUEIREDO PINTO , 789</v>
          </cell>
          <cell r="F556" t="str">
            <v>CIDADE BAIXA</v>
          </cell>
          <cell r="G556" t="str">
            <v>PORTO ALEGRE</v>
          </cell>
          <cell r="H556" t="str">
            <v>PORTO ALEGRE</v>
          </cell>
          <cell r="I556" t="str">
            <v>T</v>
          </cell>
          <cell r="J556">
            <v>16</v>
          </cell>
          <cell r="K556">
            <v>0</v>
          </cell>
          <cell r="L556" t="str">
            <v>PAVAN</v>
          </cell>
          <cell r="M556" t="str">
            <v>NÃO</v>
          </cell>
          <cell r="N556" t="str">
            <v>NÃO</v>
          </cell>
        </row>
        <row r="557">
          <cell r="A557" t="str">
            <v>PEN522</v>
          </cell>
          <cell r="B557" t="str">
            <v>PEN</v>
          </cell>
          <cell r="C557">
            <v>522</v>
          </cell>
          <cell r="D557">
            <v>45159</v>
          </cell>
          <cell r="E557" t="str">
            <v>RUA NOVE DE MARÇO , 530</v>
          </cell>
          <cell r="F557" t="str">
            <v>CENTRO</v>
          </cell>
          <cell r="G557" t="str">
            <v>JOINVILLE ( SC )</v>
          </cell>
          <cell r="H557" t="str">
            <v>PR CURITIBA</v>
          </cell>
          <cell r="I557" t="str">
            <v>T</v>
          </cell>
          <cell r="J557">
            <v>8</v>
          </cell>
          <cell r="K557">
            <v>0</v>
          </cell>
          <cell r="L557" t="str">
            <v>HENRIQUE</v>
          </cell>
          <cell r="M557" t="str">
            <v>01 VAN</v>
          </cell>
          <cell r="N557">
            <v>0.66666666666666663</v>
          </cell>
        </row>
        <row r="558">
          <cell r="A558" t="str">
            <v>PEN962</v>
          </cell>
          <cell r="B558" t="str">
            <v>PEN</v>
          </cell>
          <cell r="C558">
            <v>962</v>
          </cell>
          <cell r="D558">
            <v>45159</v>
          </cell>
          <cell r="E558" t="str">
            <v>RODOVIA CELSO GARCIA CID , Km 377</v>
          </cell>
          <cell r="F558" t="str">
            <v>CATUAÍ SHOPPING LONDRINA</v>
          </cell>
          <cell r="G558" t="str">
            <v>LONDRINA</v>
          </cell>
          <cell r="H558" t="str">
            <v>PR LONDRINA</v>
          </cell>
          <cell r="I558" t="str">
            <v>T</v>
          </cell>
          <cell r="J558">
            <v>10</v>
          </cell>
          <cell r="K558">
            <v>0</v>
          </cell>
          <cell r="L558" t="str">
            <v>MARIANA</v>
          </cell>
          <cell r="M558" t="str">
            <v>NÃO</v>
          </cell>
          <cell r="N558" t="str">
            <v>NÃO</v>
          </cell>
        </row>
        <row r="559">
          <cell r="A559" t="str">
            <v>ASI28</v>
          </cell>
          <cell r="B559" t="str">
            <v>ASI</v>
          </cell>
          <cell r="C559">
            <v>28</v>
          </cell>
          <cell r="D559">
            <v>45159</v>
          </cell>
          <cell r="E559" t="str">
            <v>ESTRADA DE JACAREPAGUÁ , 7753</v>
          </cell>
          <cell r="F559" t="str">
            <v>JACAREPAGUÁ</v>
          </cell>
          <cell r="G559" t="str">
            <v>RIO DE JANEIRO</v>
          </cell>
          <cell r="H559" t="str">
            <v>RJ</v>
          </cell>
          <cell r="I559" t="str">
            <v>D</v>
          </cell>
          <cell r="J559">
            <v>3</v>
          </cell>
          <cell r="K559">
            <v>0</v>
          </cell>
          <cell r="L559" t="str">
            <v>KLEBER</v>
          </cell>
          <cell r="M559" t="str">
            <v>NÃO</v>
          </cell>
          <cell r="N559" t="str">
            <v>NÃO</v>
          </cell>
        </row>
        <row r="560">
          <cell r="A560" t="str">
            <v>PRX8</v>
          </cell>
          <cell r="B560" t="str">
            <v>PRX</v>
          </cell>
          <cell r="C560">
            <v>8</v>
          </cell>
          <cell r="D560">
            <v>45159</v>
          </cell>
          <cell r="E560" t="str">
            <v>PRAÇA EDMUNDO REGO , 06 - LOJA B</v>
          </cell>
          <cell r="F560" t="str">
            <v>GRAJAÚ - EDMUNDO REGO</v>
          </cell>
          <cell r="G560" t="str">
            <v>RIO DE JANEIRO</v>
          </cell>
          <cell r="H560" t="str">
            <v>RJ</v>
          </cell>
          <cell r="I560" t="str">
            <v>T</v>
          </cell>
          <cell r="J560">
            <v>14</v>
          </cell>
          <cell r="K560">
            <v>0</v>
          </cell>
          <cell r="L560" t="str">
            <v>MICHELE</v>
          </cell>
          <cell r="M560" t="str">
            <v>NÃO</v>
          </cell>
          <cell r="N560" t="str">
            <v>NÃO</v>
          </cell>
        </row>
        <row r="561">
          <cell r="A561" t="str">
            <v>JAU22</v>
          </cell>
          <cell r="B561" t="str">
            <v>JAU</v>
          </cell>
          <cell r="C561">
            <v>22</v>
          </cell>
          <cell r="D561">
            <v>45159</v>
          </cell>
          <cell r="E561" t="str">
            <v>RUA VISCONDE DE INHAÚMA , 330</v>
          </cell>
          <cell r="F561" t="str">
            <v>CENTRO - VISCONDE DE INHAÚMA</v>
          </cell>
          <cell r="G561" t="str">
            <v>SÃO CARLOS</v>
          </cell>
          <cell r="H561" t="str">
            <v>SP INT BAURU</v>
          </cell>
          <cell r="I561" t="str">
            <v>T</v>
          </cell>
          <cell r="J561">
            <v>18</v>
          </cell>
          <cell r="K561" t="str">
            <v>APOIO LIMEIRA</v>
          </cell>
          <cell r="L561" t="str">
            <v>ROSÂNGELA</v>
          </cell>
          <cell r="M561" t="str">
            <v>01 VAN e 01 CARRO</v>
          </cell>
          <cell r="N561">
            <v>0.66666666666666663</v>
          </cell>
        </row>
        <row r="562">
          <cell r="A562" t="str">
            <v>OXX1085820</v>
          </cell>
          <cell r="B562" t="str">
            <v>OXX</v>
          </cell>
          <cell r="C562">
            <v>1085820</v>
          </cell>
          <cell r="D562">
            <v>45159</v>
          </cell>
          <cell r="E562" t="str">
            <v xml:space="preserve">RUA SANTA CRUZ , 33 </v>
          </cell>
          <cell r="F562" t="str">
            <v>CAMBUÍ - OROZIMBO MAIA</v>
          </cell>
          <cell r="G562" t="str">
            <v>CAMPINAS</v>
          </cell>
          <cell r="H562" t="str">
            <v>SP INT CPN</v>
          </cell>
          <cell r="I562" t="str">
            <v>P</v>
          </cell>
          <cell r="J562">
            <v>3</v>
          </cell>
          <cell r="K562" t="str">
            <v>DIURNO</v>
          </cell>
          <cell r="L562" t="str">
            <v>IZABELA/THALIA</v>
          </cell>
          <cell r="M562" t="str">
            <v>NÃO</v>
          </cell>
          <cell r="N562" t="str">
            <v>NÃO</v>
          </cell>
        </row>
        <row r="563">
          <cell r="A563" t="str">
            <v>OXX1085821</v>
          </cell>
          <cell r="B563" t="str">
            <v>OXX</v>
          </cell>
          <cell r="C563">
            <v>1085821</v>
          </cell>
          <cell r="D563">
            <v>45159</v>
          </cell>
          <cell r="E563" t="str">
            <v>RUA BARÃO DE JAGUARA , 1311</v>
          </cell>
          <cell r="F563" t="str">
            <v>CENTRO - ORLY BARÃO DE JAGUARA</v>
          </cell>
          <cell r="G563" t="str">
            <v>CAMPINAS</v>
          </cell>
          <cell r="H563" t="str">
            <v>SP INT CPN</v>
          </cell>
          <cell r="I563" t="str">
            <v>P</v>
          </cell>
          <cell r="J563">
            <v>3</v>
          </cell>
          <cell r="K563" t="str">
            <v>DIURNO</v>
          </cell>
          <cell r="L563" t="str">
            <v>EVA/LEONARDO</v>
          </cell>
          <cell r="M563" t="str">
            <v>NÃO</v>
          </cell>
          <cell r="N563" t="str">
            <v>NÃO</v>
          </cell>
        </row>
        <row r="564">
          <cell r="A564" t="str">
            <v>ASI24</v>
          </cell>
          <cell r="B564" t="str">
            <v>ASI</v>
          </cell>
          <cell r="C564">
            <v>24</v>
          </cell>
          <cell r="D564">
            <v>45159</v>
          </cell>
          <cell r="E564" t="str">
            <v>AV : TANCREDO NEVES , 450</v>
          </cell>
          <cell r="F564" t="str">
            <v>JD. CLARETE</v>
          </cell>
          <cell r="G564" t="str">
            <v>RIO CLARO</v>
          </cell>
          <cell r="H564" t="str">
            <v>SP INT LIMEIRA</v>
          </cell>
          <cell r="I564" t="str">
            <v>D</v>
          </cell>
          <cell r="J564">
            <v>3</v>
          </cell>
          <cell r="K564">
            <v>0</v>
          </cell>
          <cell r="L564" t="str">
            <v>A DEFINIR</v>
          </cell>
          <cell r="M564" t="str">
            <v>UBER</v>
          </cell>
          <cell r="N564">
            <v>0.79166666666666663</v>
          </cell>
        </row>
        <row r="565">
          <cell r="A565" t="str">
            <v>JAU22</v>
          </cell>
          <cell r="B565" t="str">
            <v>JAU</v>
          </cell>
          <cell r="C565">
            <v>22</v>
          </cell>
          <cell r="D565">
            <v>45159</v>
          </cell>
          <cell r="E565" t="str">
            <v>RUA VISCONDE DE INHAÚMA , 330</v>
          </cell>
          <cell r="F565" t="str">
            <v>CENTRO - VISCONDE DE INHAÚMA</v>
          </cell>
          <cell r="G565" t="str">
            <v>SÃO CARLOS</v>
          </cell>
          <cell r="H565" t="str">
            <v>SP INT LIMEIRA</v>
          </cell>
          <cell r="I565" t="str">
            <v>APOIO</v>
          </cell>
          <cell r="J565">
            <v>15</v>
          </cell>
          <cell r="K565">
            <v>0</v>
          </cell>
          <cell r="L565" t="str">
            <v>GUSTAVO</v>
          </cell>
          <cell r="M565" t="str">
            <v>01 VAN</v>
          </cell>
          <cell r="N565">
            <v>0.6875</v>
          </cell>
        </row>
        <row r="566">
          <cell r="A566" t="str">
            <v>ASI121</v>
          </cell>
          <cell r="B566" t="str">
            <v>ASI</v>
          </cell>
          <cell r="C566">
            <v>121</v>
          </cell>
          <cell r="D566">
            <v>45159</v>
          </cell>
          <cell r="E566" t="str">
            <v>AV : DR. SEBASTIÃO HENRIQUE DA CUNHA PONTES , 4600</v>
          </cell>
          <cell r="F566" t="str">
            <v>JD. DAS PALMEIRAS</v>
          </cell>
          <cell r="G566" t="str">
            <v>SÃO JOSÉ DOS CAMPOS</v>
          </cell>
          <cell r="H566" t="str">
            <v>SP INT SJC</v>
          </cell>
          <cell r="I566" t="str">
            <v>D</v>
          </cell>
          <cell r="J566">
            <v>3</v>
          </cell>
          <cell r="K566">
            <v>0</v>
          </cell>
          <cell r="L566" t="str">
            <v>MARCELO</v>
          </cell>
          <cell r="M566" t="str">
            <v>UBER</v>
          </cell>
          <cell r="N566">
            <v>0.79166666666666663</v>
          </cell>
        </row>
        <row r="567">
          <cell r="A567" t="str">
            <v>DSP83</v>
          </cell>
          <cell r="B567" t="str">
            <v>DSP</v>
          </cell>
          <cell r="C567">
            <v>83</v>
          </cell>
          <cell r="D567">
            <v>45159</v>
          </cell>
          <cell r="E567" t="str">
            <v>AV : ADHEMAR DE BARROS , 477 / 489</v>
          </cell>
          <cell r="F567" t="str">
            <v>JD. SÃO DIMAS - 24h</v>
          </cell>
          <cell r="G567" t="str">
            <v>SÃO JOSÉ DOS CAMPOS</v>
          </cell>
          <cell r="H567" t="str">
            <v>SP INT SJC</v>
          </cell>
          <cell r="I567" t="str">
            <v>T</v>
          </cell>
          <cell r="J567">
            <v>14</v>
          </cell>
          <cell r="K567">
            <v>0</v>
          </cell>
          <cell r="L567" t="str">
            <v>JAÍNE/BRUNA</v>
          </cell>
          <cell r="M567" t="str">
            <v>01 VAN</v>
          </cell>
          <cell r="N567">
            <v>0.77083333333333337</v>
          </cell>
        </row>
        <row r="568">
          <cell r="A568" t="str">
            <v>PDA2381</v>
          </cell>
          <cell r="B568" t="str">
            <v>PDA</v>
          </cell>
          <cell r="C568">
            <v>2381</v>
          </cell>
          <cell r="D568">
            <v>45159</v>
          </cell>
          <cell r="E568" t="str">
            <v xml:space="preserve">AV : MARTE , 624 </v>
          </cell>
          <cell r="F568" t="str">
            <v>ALPHAVILLE</v>
          </cell>
          <cell r="G568" t="str">
            <v>SANTANA DE PARNAÍBA</v>
          </cell>
          <cell r="H568" t="str">
            <v>SP INT SJC</v>
          </cell>
          <cell r="I568" t="str">
            <v>CAN</v>
          </cell>
          <cell r="J568">
            <v>15</v>
          </cell>
          <cell r="K568">
            <v>0</v>
          </cell>
          <cell r="L568" t="str">
            <v>FELIPE</v>
          </cell>
          <cell r="M568" t="str">
            <v>01 VAN</v>
          </cell>
          <cell r="N568">
            <v>0.6875</v>
          </cell>
        </row>
        <row r="569">
          <cell r="A569" t="str">
            <v>DSP271</v>
          </cell>
          <cell r="B569" t="str">
            <v>DSP</v>
          </cell>
          <cell r="C569">
            <v>271</v>
          </cell>
          <cell r="D569">
            <v>45159</v>
          </cell>
          <cell r="E569" t="str">
            <v>RUA PAMPLONA , 1613</v>
          </cell>
          <cell r="F569" t="str">
            <v>JD. PAULISTA - 24h</v>
          </cell>
          <cell r="G569" t="str">
            <v>SÃO PAULO</v>
          </cell>
          <cell r="H569" t="str">
            <v>SP LESTE</v>
          </cell>
          <cell r="I569" t="str">
            <v>T</v>
          </cell>
          <cell r="J569">
            <v>13</v>
          </cell>
          <cell r="K569">
            <v>0</v>
          </cell>
          <cell r="L569" t="str">
            <v>JÉSSICA</v>
          </cell>
          <cell r="M569" t="str">
            <v>NÃO</v>
          </cell>
          <cell r="N569" t="str">
            <v>NÃO</v>
          </cell>
        </row>
        <row r="570">
          <cell r="A570" t="str">
            <v>EXS1886</v>
          </cell>
          <cell r="B570" t="str">
            <v>EXS</v>
          </cell>
          <cell r="C570">
            <v>1886</v>
          </cell>
          <cell r="D570">
            <v>45159</v>
          </cell>
          <cell r="E570" t="str">
            <v xml:space="preserve">RUA RUI BARBOSA , S/Nº         </v>
          </cell>
          <cell r="F570" t="str">
            <v>CENTRO</v>
          </cell>
          <cell r="G570" t="str">
            <v>MONGAGUÁ</v>
          </cell>
          <cell r="H570" t="str">
            <v>SP LESTE</v>
          </cell>
          <cell r="I570" t="str">
            <v>T</v>
          </cell>
          <cell r="J570">
            <v>28</v>
          </cell>
          <cell r="K570">
            <v>0</v>
          </cell>
          <cell r="L570" t="str">
            <v>LUANA/KAIQUE</v>
          </cell>
          <cell r="M570" t="str">
            <v>02 VANS</v>
          </cell>
          <cell r="N570">
            <v>0.66666666666666663</v>
          </cell>
        </row>
        <row r="571">
          <cell r="A571" t="str">
            <v>GIG911</v>
          </cell>
          <cell r="B571" t="str">
            <v>GIG</v>
          </cell>
          <cell r="C571">
            <v>911</v>
          </cell>
          <cell r="D571">
            <v>45159</v>
          </cell>
          <cell r="E571" t="str">
            <v>AV : DOS REMÉDIOS , 2555</v>
          </cell>
          <cell r="F571" t="str">
            <v>REMÉDIOS</v>
          </cell>
          <cell r="G571" t="str">
            <v>OSASCO</v>
          </cell>
          <cell r="H571" t="str">
            <v>SP LESTE</v>
          </cell>
          <cell r="I571" t="str">
            <v>CA</v>
          </cell>
          <cell r="J571">
            <v>15</v>
          </cell>
          <cell r="K571">
            <v>0</v>
          </cell>
          <cell r="L571" t="str">
            <v>PATRÍCIA</v>
          </cell>
          <cell r="M571" t="str">
            <v>01 VAN</v>
          </cell>
          <cell r="N571">
            <v>0.70833333333333337</v>
          </cell>
        </row>
        <row r="572">
          <cell r="A572" t="str">
            <v>PDA2381</v>
          </cell>
          <cell r="B572" t="str">
            <v>PDA</v>
          </cell>
          <cell r="C572">
            <v>2381</v>
          </cell>
          <cell r="D572">
            <v>45159</v>
          </cell>
          <cell r="E572" t="str">
            <v xml:space="preserve">AV : MARTE , 624 </v>
          </cell>
          <cell r="F572" t="str">
            <v>ALPHAVILLE</v>
          </cell>
          <cell r="G572" t="str">
            <v>SANTANA DE PARNAÍBA</v>
          </cell>
          <cell r="H572" t="str">
            <v>SP LESTE</v>
          </cell>
          <cell r="I572" t="str">
            <v>CAN</v>
          </cell>
          <cell r="J572">
            <v>4</v>
          </cell>
          <cell r="K572" t="str">
            <v>DIURNO</v>
          </cell>
          <cell r="L572" t="str">
            <v>ANDERSON</v>
          </cell>
          <cell r="M572" t="str">
            <v>UBER</v>
          </cell>
          <cell r="N572">
            <v>0.29166666666666669</v>
          </cell>
        </row>
        <row r="573">
          <cell r="A573" t="str">
            <v>PDA2381</v>
          </cell>
          <cell r="B573" t="str">
            <v>PDA</v>
          </cell>
          <cell r="C573">
            <v>2381</v>
          </cell>
          <cell r="D573">
            <v>45159</v>
          </cell>
          <cell r="E573" t="str">
            <v xml:space="preserve">AV : MARTE , 624 </v>
          </cell>
          <cell r="F573" t="str">
            <v>ALPHAVILLE</v>
          </cell>
          <cell r="G573" t="str">
            <v>SANTANA DE PARNAÍBA</v>
          </cell>
          <cell r="H573" t="str">
            <v>SP LESTE</v>
          </cell>
          <cell r="I573" t="str">
            <v>CAN</v>
          </cell>
          <cell r="J573">
            <v>26</v>
          </cell>
          <cell r="K573" t="str">
            <v>APOIO SJC</v>
          </cell>
          <cell r="L573" t="str">
            <v>LUÍS/ANTÔNIO</v>
          </cell>
          <cell r="M573" t="str">
            <v>02 VANS</v>
          </cell>
          <cell r="N573">
            <v>0.6875</v>
          </cell>
        </row>
        <row r="574">
          <cell r="A574" t="str">
            <v>PMO26</v>
          </cell>
          <cell r="B574" t="str">
            <v>PMO</v>
          </cell>
          <cell r="C574">
            <v>26</v>
          </cell>
          <cell r="D574">
            <v>45159</v>
          </cell>
          <cell r="E574" t="str">
            <v>PRAÇA NIPPON , 67</v>
          </cell>
          <cell r="F574" t="str">
            <v>JD. JAPÃO</v>
          </cell>
          <cell r="G574" t="str">
            <v>SÃO PAULO</v>
          </cell>
          <cell r="H574" t="str">
            <v>SP LESTE</v>
          </cell>
          <cell r="I574" t="str">
            <v>T</v>
          </cell>
          <cell r="J574">
            <v>5</v>
          </cell>
          <cell r="K574">
            <v>0</v>
          </cell>
          <cell r="L574" t="str">
            <v>TAMIRES</v>
          </cell>
          <cell r="M574" t="str">
            <v>NÃO</v>
          </cell>
          <cell r="N574" t="str">
            <v>NÃO</v>
          </cell>
        </row>
        <row r="575">
          <cell r="A575" t="str">
            <v>PRA7</v>
          </cell>
          <cell r="B575" t="str">
            <v>PRA</v>
          </cell>
          <cell r="C575">
            <v>7</v>
          </cell>
          <cell r="D575">
            <v>45159</v>
          </cell>
          <cell r="E575" t="str">
            <v>PRAÇA CATAS ALTAS , 190 - IMPERADOR</v>
          </cell>
          <cell r="F575" t="str">
            <v>JD. PARAGUAÇU</v>
          </cell>
          <cell r="G575" t="str">
            <v>SÃO PAULO</v>
          </cell>
          <cell r="H575" t="str">
            <v>SP LESTE</v>
          </cell>
          <cell r="I575" t="str">
            <v>T</v>
          </cell>
          <cell r="J575">
            <v>23</v>
          </cell>
          <cell r="K575">
            <v>0</v>
          </cell>
          <cell r="L575" t="str">
            <v>MARCELO/CHRIS</v>
          </cell>
          <cell r="M575" t="str">
            <v>NÃO</v>
          </cell>
          <cell r="N575" t="str">
            <v>NÃO</v>
          </cell>
        </row>
        <row r="576">
          <cell r="A576" t="str">
            <v>OXX1089753</v>
          </cell>
          <cell r="B576" t="str">
            <v>OXX</v>
          </cell>
          <cell r="C576">
            <v>1089753</v>
          </cell>
          <cell r="D576">
            <v>45159</v>
          </cell>
          <cell r="E576" t="str">
            <v>LARGO DO AROUCHE , 45</v>
          </cell>
          <cell r="F576" t="str">
            <v>REPÚBLICA - LARGO DO AROUCHE</v>
          </cell>
          <cell r="G576" t="str">
            <v>SÃO PAULO</v>
          </cell>
          <cell r="H576" t="str">
            <v>SP LESTE X</v>
          </cell>
          <cell r="I576" t="str">
            <v>P</v>
          </cell>
          <cell r="J576">
            <v>3</v>
          </cell>
          <cell r="K576" t="str">
            <v>DIURNO</v>
          </cell>
          <cell r="L576" t="str">
            <v>GAMA/JOYCE</v>
          </cell>
          <cell r="M576" t="str">
            <v>NÃO</v>
          </cell>
          <cell r="N576" t="str">
            <v>NÃO</v>
          </cell>
        </row>
        <row r="577">
          <cell r="A577" t="str">
            <v>OXX1089762</v>
          </cell>
          <cell r="B577" t="str">
            <v>OXX</v>
          </cell>
          <cell r="C577">
            <v>1089762</v>
          </cell>
          <cell r="D577">
            <v>45159</v>
          </cell>
          <cell r="E577" t="str">
            <v>RUA DR. VEIGA FILHO , 48</v>
          </cell>
          <cell r="F577" t="str">
            <v>SANTA CECÍLIA - VEIGA FILHO</v>
          </cell>
          <cell r="G577" t="str">
            <v>SÃO PAULO</v>
          </cell>
          <cell r="H577" t="str">
            <v>SP LESTE X</v>
          </cell>
          <cell r="I577" t="str">
            <v>P</v>
          </cell>
          <cell r="J577">
            <v>3</v>
          </cell>
          <cell r="K577" t="str">
            <v>DIURNO</v>
          </cell>
          <cell r="L577" t="str">
            <v>ARTHUR</v>
          </cell>
          <cell r="M577" t="str">
            <v>NÃO</v>
          </cell>
          <cell r="N577" t="str">
            <v>NÃO</v>
          </cell>
        </row>
        <row r="578">
          <cell r="A578" t="str">
            <v>OXX1092171</v>
          </cell>
          <cell r="B578" t="str">
            <v>OXX</v>
          </cell>
          <cell r="C578">
            <v>1092171</v>
          </cell>
          <cell r="D578">
            <v>45159</v>
          </cell>
          <cell r="E578" t="str">
            <v>AV : SÃO LUÍS , 150</v>
          </cell>
          <cell r="F578" t="str">
            <v>REPÚBLICA - CÂMBIO</v>
          </cell>
          <cell r="G578" t="str">
            <v>SÃO PAULO</v>
          </cell>
          <cell r="H578" t="str">
            <v>SP LESTE X</v>
          </cell>
          <cell r="I578" t="str">
            <v>P</v>
          </cell>
          <cell r="J578">
            <v>3</v>
          </cell>
          <cell r="K578" t="str">
            <v>DIURNO</v>
          </cell>
          <cell r="L578" t="str">
            <v>CÁSSIA</v>
          </cell>
          <cell r="M578" t="str">
            <v>NÃO</v>
          </cell>
          <cell r="N578" t="str">
            <v>NÃO</v>
          </cell>
        </row>
        <row r="579">
          <cell r="A579" t="str">
            <v>OXX1098790</v>
          </cell>
          <cell r="B579" t="str">
            <v>OXX</v>
          </cell>
          <cell r="C579">
            <v>1098790</v>
          </cell>
          <cell r="D579">
            <v>45159</v>
          </cell>
          <cell r="E579" t="str">
            <v xml:space="preserve">RUA ANTÔNIO MACEDO , 540 </v>
          </cell>
          <cell r="F579" t="str">
            <v>PQ. SÃO JORGE - GAVIÕES</v>
          </cell>
          <cell r="G579" t="str">
            <v>SÃO PAULO</v>
          </cell>
          <cell r="H579" t="str">
            <v>SP LESTE X</v>
          </cell>
          <cell r="I579" t="str">
            <v>P</v>
          </cell>
          <cell r="J579">
            <v>3</v>
          </cell>
          <cell r="K579" t="str">
            <v>DIURNO</v>
          </cell>
          <cell r="L579" t="str">
            <v>JOSÉ WELVYS</v>
          </cell>
          <cell r="M579" t="str">
            <v>NÃO</v>
          </cell>
          <cell r="N579" t="str">
            <v>NÃO</v>
          </cell>
        </row>
        <row r="580">
          <cell r="A580" t="str">
            <v>OXX1099203</v>
          </cell>
          <cell r="B580" t="str">
            <v>OXX</v>
          </cell>
          <cell r="C580">
            <v>1099203</v>
          </cell>
          <cell r="D580">
            <v>45159</v>
          </cell>
          <cell r="E580" t="str">
            <v>RUA CRISTOVÃO GIRÃO , 80</v>
          </cell>
          <cell r="F580" t="str">
            <v>VILA FORMOSA - BOULEVARD DA VILLA</v>
          </cell>
          <cell r="G580" t="str">
            <v>SÃO PAULO</v>
          </cell>
          <cell r="H580" t="str">
            <v>SP LESTE X</v>
          </cell>
          <cell r="I580" t="str">
            <v>P</v>
          </cell>
          <cell r="J580">
            <v>3</v>
          </cell>
          <cell r="K580" t="str">
            <v>DIURNO</v>
          </cell>
          <cell r="L580" t="str">
            <v>LARISSA</v>
          </cell>
          <cell r="M580" t="str">
            <v>NÃO</v>
          </cell>
          <cell r="N580" t="str">
            <v>NÃO</v>
          </cell>
        </row>
        <row r="581">
          <cell r="A581" t="str">
            <v>ASI10</v>
          </cell>
          <cell r="B581" t="str">
            <v>ASI</v>
          </cell>
          <cell r="C581">
            <v>10</v>
          </cell>
          <cell r="D581">
            <v>45159</v>
          </cell>
          <cell r="E581" t="str">
            <v>AV : PIRAPORINHA , 600</v>
          </cell>
          <cell r="F581" t="str">
            <v>PLANALTO</v>
          </cell>
          <cell r="G581" t="str">
            <v>SÃO BERNARDO DO CAMPO</v>
          </cell>
          <cell r="H581" t="str">
            <v>SP SUL</v>
          </cell>
          <cell r="I581" t="str">
            <v>D</v>
          </cell>
          <cell r="J581">
            <v>3</v>
          </cell>
          <cell r="K581">
            <v>0</v>
          </cell>
          <cell r="L581" t="str">
            <v>ISMAEL</v>
          </cell>
          <cell r="M581" t="str">
            <v>UBER</v>
          </cell>
          <cell r="N581">
            <v>0.8125</v>
          </cell>
        </row>
        <row r="582">
          <cell r="A582" t="str">
            <v>CFO201</v>
          </cell>
          <cell r="B582" t="str">
            <v>CFO</v>
          </cell>
          <cell r="C582">
            <v>201</v>
          </cell>
          <cell r="D582">
            <v>45159</v>
          </cell>
          <cell r="E582" t="str">
            <v>AV : CONS. NÉBIAS , 802</v>
          </cell>
          <cell r="F582" t="str">
            <v>BOQUEIRÃO</v>
          </cell>
          <cell r="G582" t="str">
            <v>SANTOS</v>
          </cell>
          <cell r="H582" t="str">
            <v>SP SUL</v>
          </cell>
          <cell r="I582" t="str">
            <v>PA</v>
          </cell>
          <cell r="J582">
            <v>23</v>
          </cell>
          <cell r="K582">
            <v>0</v>
          </cell>
          <cell r="L582" t="str">
            <v>CAMILA/JUSCELINO/VIANA</v>
          </cell>
          <cell r="M582" t="str">
            <v>02 VANS</v>
          </cell>
          <cell r="N582">
            <v>0.66666666666666663</v>
          </cell>
        </row>
        <row r="583">
          <cell r="A583" t="str">
            <v>CFX724</v>
          </cell>
          <cell r="B583" t="str">
            <v>CFX</v>
          </cell>
          <cell r="C583">
            <v>724</v>
          </cell>
          <cell r="D583">
            <v>45159</v>
          </cell>
          <cell r="E583" t="str">
            <v>RUA DIANA , 654</v>
          </cell>
          <cell r="F583" t="str">
            <v>POMPÉIA</v>
          </cell>
          <cell r="G583" t="str">
            <v>SÃO PAULO</v>
          </cell>
          <cell r="H583" t="str">
            <v>SP SUL</v>
          </cell>
          <cell r="I583" t="str">
            <v>T</v>
          </cell>
          <cell r="J583">
            <v>5</v>
          </cell>
          <cell r="K583">
            <v>0</v>
          </cell>
          <cell r="L583" t="str">
            <v>YGOR</v>
          </cell>
          <cell r="M583" t="str">
            <v>NÃO</v>
          </cell>
          <cell r="N583" t="str">
            <v>NÃO</v>
          </cell>
        </row>
        <row r="584">
          <cell r="A584" t="str">
            <v>DSP2122</v>
          </cell>
          <cell r="B584" t="str">
            <v>DSP</v>
          </cell>
          <cell r="C584">
            <v>2122</v>
          </cell>
          <cell r="D584">
            <v>45159</v>
          </cell>
          <cell r="E584" t="str">
            <v>AV : ITAQUERA , 2902</v>
          </cell>
          <cell r="F584" t="str">
            <v>ITAQUERA - JD. BRASÍLIA - 24h</v>
          </cell>
          <cell r="G584" t="str">
            <v>SÃO PAULO</v>
          </cell>
          <cell r="H584" t="str">
            <v>SP SUL</v>
          </cell>
          <cell r="I584" t="str">
            <v>T</v>
          </cell>
          <cell r="J584">
            <v>13</v>
          </cell>
          <cell r="K584">
            <v>0</v>
          </cell>
          <cell r="L584" t="str">
            <v>ELAINE</v>
          </cell>
          <cell r="M584" t="str">
            <v>01 VAN</v>
          </cell>
          <cell r="N584">
            <v>0.79166666666666663</v>
          </cell>
        </row>
        <row r="585">
          <cell r="A585" t="str">
            <v>RODR010</v>
          </cell>
          <cell r="B585" t="str">
            <v>ROD</v>
          </cell>
          <cell r="C585" t="str">
            <v>R010</v>
          </cell>
          <cell r="D585">
            <v>45159</v>
          </cell>
          <cell r="E585" t="str">
            <v>RUA DO MANIFESTO , 1183 </v>
          </cell>
          <cell r="F585" t="str">
            <v>IPIRANGA</v>
          </cell>
          <cell r="G585" t="str">
            <v>SÃO PAULO</v>
          </cell>
          <cell r="H585" t="str">
            <v>SP SUL</v>
          </cell>
          <cell r="I585" t="str">
            <v>F</v>
          </cell>
          <cell r="J585">
            <v>14</v>
          </cell>
          <cell r="K585">
            <v>0</v>
          </cell>
          <cell r="L585" t="str">
            <v>CARLOS</v>
          </cell>
          <cell r="M585">
            <v>0</v>
          </cell>
          <cell r="N585">
            <v>0</v>
          </cell>
        </row>
        <row r="586">
          <cell r="A586" t="str">
            <v>STMS301</v>
          </cell>
          <cell r="B586" t="str">
            <v>STM</v>
          </cell>
          <cell r="C586" t="str">
            <v>S301</v>
          </cell>
          <cell r="D586">
            <v>45159</v>
          </cell>
          <cell r="E586" t="str">
            <v>ALAMEDA JAUAPERI , 625</v>
          </cell>
          <cell r="F586" t="str">
            <v>INDIANÓPOLIS</v>
          </cell>
          <cell r="G586" t="str">
            <v>SÃO PAULO</v>
          </cell>
          <cell r="H586" t="str">
            <v>SP SUL</v>
          </cell>
          <cell r="I586" t="str">
            <v>T</v>
          </cell>
          <cell r="J586">
            <v>35</v>
          </cell>
          <cell r="K586">
            <v>0</v>
          </cell>
          <cell r="L586" t="str">
            <v>RUAN</v>
          </cell>
          <cell r="M586" t="str">
            <v>NÃO</v>
          </cell>
          <cell r="N586" t="str">
            <v>NÃO</v>
          </cell>
        </row>
        <row r="587">
          <cell r="A587" t="str">
            <v>OXX1093612</v>
          </cell>
          <cell r="B587" t="str">
            <v>OXX</v>
          </cell>
          <cell r="C587">
            <v>1093612</v>
          </cell>
          <cell r="D587">
            <v>45159</v>
          </cell>
          <cell r="E587" t="str">
            <v>RUA DONA PRIMITIVA VIANCO , 715</v>
          </cell>
          <cell r="F587" t="str">
            <v>CENTRO - PRIMITIVA VIANCO</v>
          </cell>
          <cell r="G587" t="str">
            <v>OSASCO</v>
          </cell>
          <cell r="H587" t="str">
            <v>SP SUL X</v>
          </cell>
          <cell r="I587" t="str">
            <v>P</v>
          </cell>
          <cell r="J587">
            <v>3</v>
          </cell>
          <cell r="K587" t="str">
            <v>DIURNO</v>
          </cell>
          <cell r="L587" t="str">
            <v>CLAUDIA</v>
          </cell>
          <cell r="M587" t="str">
            <v>NÃO</v>
          </cell>
          <cell r="N587" t="str">
            <v>NÃO</v>
          </cell>
        </row>
        <row r="588">
          <cell r="A588" t="str">
            <v>OXX1094928</v>
          </cell>
          <cell r="B588" t="str">
            <v>OXX</v>
          </cell>
          <cell r="C588">
            <v>1094928</v>
          </cell>
          <cell r="D588">
            <v>45159</v>
          </cell>
          <cell r="E588" t="str">
            <v>RUA MAL. DEODORO , 749</v>
          </cell>
          <cell r="F588" t="str">
            <v>CENTRO - DEODORO</v>
          </cell>
          <cell r="G588" t="str">
            <v>SÃO BERNARDO DO CAMPO</v>
          </cell>
          <cell r="H588" t="str">
            <v>SP SUL X</v>
          </cell>
          <cell r="I588" t="str">
            <v>P</v>
          </cell>
          <cell r="J588">
            <v>3</v>
          </cell>
          <cell r="K588" t="str">
            <v>DIURNO</v>
          </cell>
          <cell r="L588" t="str">
            <v>ANDRÉ</v>
          </cell>
          <cell r="M588" t="str">
            <v>UBER</v>
          </cell>
          <cell r="N588">
            <v>0.3125</v>
          </cell>
        </row>
        <row r="589">
          <cell r="A589" t="str">
            <v>OXX1095035</v>
          </cell>
          <cell r="B589" t="str">
            <v>OXX</v>
          </cell>
          <cell r="C589">
            <v>1095035</v>
          </cell>
          <cell r="D589">
            <v>45159</v>
          </cell>
          <cell r="E589" t="str">
            <v>RUA BOA VISTA , 344</v>
          </cell>
          <cell r="F589" t="str">
            <v>CENTRO - METRÔ SÃO BENTO</v>
          </cell>
          <cell r="G589" t="str">
            <v>SÃO PAULO</v>
          </cell>
          <cell r="H589" t="str">
            <v>SP SUL X</v>
          </cell>
          <cell r="I589" t="str">
            <v>P</v>
          </cell>
          <cell r="J589">
            <v>3</v>
          </cell>
          <cell r="K589" t="str">
            <v>DIURNO</v>
          </cell>
          <cell r="L589" t="str">
            <v>NATHALIA</v>
          </cell>
          <cell r="M589" t="str">
            <v>NÃO</v>
          </cell>
          <cell r="N589" t="str">
            <v>NÃO</v>
          </cell>
        </row>
        <row r="590">
          <cell r="A590" t="str">
            <v>OXX1097430</v>
          </cell>
          <cell r="B590" t="str">
            <v>OXX</v>
          </cell>
          <cell r="C590">
            <v>1097430</v>
          </cell>
          <cell r="D590">
            <v>45159</v>
          </cell>
          <cell r="E590" t="str">
            <v>RUA DAS PALMEIRAS , 150</v>
          </cell>
          <cell r="F590" t="str">
            <v>VILA BUARQUE</v>
          </cell>
          <cell r="G590" t="str">
            <v>SÃO PAULO</v>
          </cell>
          <cell r="H590" t="str">
            <v>SP SUL X</v>
          </cell>
          <cell r="I590" t="str">
            <v>P</v>
          </cell>
          <cell r="J590">
            <v>3</v>
          </cell>
          <cell r="K590" t="str">
            <v>DIURNO</v>
          </cell>
          <cell r="L590" t="str">
            <v>JÉSSICA</v>
          </cell>
          <cell r="M590" t="str">
            <v>NÃO</v>
          </cell>
          <cell r="N590" t="str">
            <v>NÃO</v>
          </cell>
        </row>
        <row r="591">
          <cell r="A591" t="str">
            <v>OXX1098801</v>
          </cell>
          <cell r="B591" t="str">
            <v>OXX</v>
          </cell>
          <cell r="C591">
            <v>1098801</v>
          </cell>
          <cell r="D591">
            <v>45159</v>
          </cell>
          <cell r="E591" t="str">
            <v>ALAMEDA CAMPINAS , 737</v>
          </cell>
          <cell r="F591" t="str">
            <v>JARDINS - AL. CAMPINAS</v>
          </cell>
          <cell r="G591" t="str">
            <v>SÃO PAULO</v>
          </cell>
          <cell r="H591" t="str">
            <v>SP SUL X</v>
          </cell>
          <cell r="I591" t="str">
            <v>P</v>
          </cell>
          <cell r="J591">
            <v>3</v>
          </cell>
          <cell r="K591" t="str">
            <v>DIURNO</v>
          </cell>
          <cell r="L591" t="str">
            <v>RAYANE</v>
          </cell>
          <cell r="M591" t="str">
            <v>NÃO</v>
          </cell>
          <cell r="N591" t="str">
            <v>NÃO</v>
          </cell>
        </row>
        <row r="592">
          <cell r="A592" t="str">
            <v/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 t="str">
            <v>Total</v>
          </cell>
          <cell r="J592">
            <v>374</v>
          </cell>
          <cell r="K592">
            <v>216</v>
          </cell>
          <cell r="L592">
            <v>0</v>
          </cell>
          <cell r="M592">
            <v>0</v>
          </cell>
          <cell r="N592">
            <v>0</v>
          </cell>
        </row>
        <row r="593">
          <cell r="A593" t="str">
            <v/>
          </cell>
          <cell r="B593">
            <v>0</v>
          </cell>
          <cell r="C593">
            <v>0</v>
          </cell>
          <cell r="D593">
            <v>0</v>
          </cell>
          <cell r="E593">
            <v>45160</v>
          </cell>
          <cell r="F593" t="str">
            <v>TERÇA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FSJ125</v>
          </cell>
          <cell r="B594" t="str">
            <v>FSJ</v>
          </cell>
          <cell r="C594">
            <v>125</v>
          </cell>
          <cell r="D594">
            <v>45160</v>
          </cell>
          <cell r="E594" t="str">
            <v xml:space="preserve">AV : GOMES JARDIM , 162 </v>
          </cell>
          <cell r="F594" t="str">
            <v>CENTRO - PIR 01</v>
          </cell>
          <cell r="G594" t="str">
            <v>PIRATINI</v>
          </cell>
          <cell r="H594" t="str">
            <v>PORTO ALEGRE</v>
          </cell>
          <cell r="I594" t="str">
            <v>T</v>
          </cell>
          <cell r="J594">
            <v>9</v>
          </cell>
          <cell r="K594" t="str">
            <v>EQ. PELOTAS</v>
          </cell>
          <cell r="L594" t="str">
            <v>PATRINE</v>
          </cell>
          <cell r="M594" t="str">
            <v>01 VAN</v>
          </cell>
          <cell r="N594">
            <v>0.77083333333333337</v>
          </cell>
        </row>
        <row r="595">
          <cell r="A595" t="str">
            <v>PEN399</v>
          </cell>
          <cell r="B595" t="str">
            <v>PEN</v>
          </cell>
          <cell r="C595">
            <v>399</v>
          </cell>
          <cell r="D595">
            <v>45160</v>
          </cell>
          <cell r="E595" t="str">
            <v>AV : JÚLIO DE CASTILHOS , 1914</v>
          </cell>
          <cell r="F595" t="str">
            <v>NOSSA SRA. DE LOURDES</v>
          </cell>
          <cell r="G595" t="str">
            <v xml:space="preserve">CAXIAS DO SUL </v>
          </cell>
          <cell r="H595" t="str">
            <v>PORTO ALEGRE</v>
          </cell>
          <cell r="I595" t="str">
            <v>T</v>
          </cell>
          <cell r="J595">
            <v>7</v>
          </cell>
          <cell r="K595">
            <v>0</v>
          </cell>
          <cell r="L595" t="str">
            <v>HEVERTON</v>
          </cell>
          <cell r="M595" t="str">
            <v>01 VAN</v>
          </cell>
          <cell r="N595">
            <v>0.66666666666666663</v>
          </cell>
        </row>
        <row r="596">
          <cell r="A596" t="str">
            <v>CFO1078</v>
          </cell>
          <cell r="B596" t="str">
            <v>CFO</v>
          </cell>
          <cell r="C596">
            <v>1078</v>
          </cell>
          <cell r="D596">
            <v>45160</v>
          </cell>
          <cell r="E596" t="str">
            <v>AV : PARANÁ , 1250</v>
          </cell>
          <cell r="F596" t="str">
            <v>CABRAL</v>
          </cell>
          <cell r="G596" t="str">
            <v>CURITIBA</v>
          </cell>
          <cell r="H596" t="str">
            <v>PR CURITIBA</v>
          </cell>
          <cell r="I596" t="str">
            <v>PA</v>
          </cell>
          <cell r="J596">
            <v>22</v>
          </cell>
          <cell r="K596">
            <v>0</v>
          </cell>
          <cell r="L596" t="str">
            <v>HENRIQUE</v>
          </cell>
          <cell r="M596" t="str">
            <v>NÃO</v>
          </cell>
          <cell r="N596" t="str">
            <v>NÃO</v>
          </cell>
        </row>
        <row r="597">
          <cell r="A597" t="str">
            <v>VVE6</v>
          </cell>
          <cell r="B597" t="str">
            <v>VVE</v>
          </cell>
          <cell r="C597">
            <v>6</v>
          </cell>
          <cell r="D597">
            <v>45160</v>
          </cell>
          <cell r="E597" t="str">
            <v xml:space="preserve">AV : SAUL ELKIND , 923 </v>
          </cell>
          <cell r="F597" t="str">
            <v>CONJ. SEMIRAMIS</v>
          </cell>
          <cell r="G597" t="str">
            <v>LONDRINA</v>
          </cell>
          <cell r="H597" t="str">
            <v>PR LONDRINA</v>
          </cell>
          <cell r="I597" t="str">
            <v>T</v>
          </cell>
          <cell r="J597">
            <v>5</v>
          </cell>
          <cell r="K597">
            <v>0</v>
          </cell>
          <cell r="L597" t="str">
            <v>MARIANA</v>
          </cell>
          <cell r="M597" t="str">
            <v>NÃO</v>
          </cell>
          <cell r="N597" t="str">
            <v>NÃO</v>
          </cell>
        </row>
        <row r="598">
          <cell r="A598" t="str">
            <v>HORF009</v>
          </cell>
          <cell r="B598" t="str">
            <v>HOR</v>
          </cell>
          <cell r="C598" t="str">
            <v>F009</v>
          </cell>
          <cell r="D598">
            <v>45160</v>
          </cell>
          <cell r="E598" t="str">
            <v>RUA DIAS DA ROCHA , 45</v>
          </cell>
          <cell r="F598" t="str">
            <v>COPACABANA - DIAS DA ROCHA</v>
          </cell>
          <cell r="G598" t="str">
            <v>RIO DE JANEIRO</v>
          </cell>
          <cell r="H598" t="str">
            <v>RJ</v>
          </cell>
          <cell r="I598" t="str">
            <v>T</v>
          </cell>
          <cell r="J598">
            <v>15</v>
          </cell>
          <cell r="K598">
            <v>0</v>
          </cell>
          <cell r="L598" t="str">
            <v>RAFAEL</v>
          </cell>
          <cell r="M598" t="str">
            <v>NÃO</v>
          </cell>
          <cell r="N598" t="str">
            <v>NÃO</v>
          </cell>
        </row>
        <row r="599">
          <cell r="A599" t="str">
            <v>HORF033</v>
          </cell>
          <cell r="B599" t="str">
            <v>HOR</v>
          </cell>
          <cell r="C599" t="str">
            <v>F033</v>
          </cell>
          <cell r="D599">
            <v>45160</v>
          </cell>
          <cell r="E599" t="str">
            <v>RUA DR. NILO PEÇANHA , 80</v>
          </cell>
          <cell r="F599" t="str">
            <v>INGÁ - LEVE</v>
          </cell>
          <cell r="G599" t="str">
            <v>NITERÓI</v>
          </cell>
          <cell r="H599" t="str">
            <v>RJ</v>
          </cell>
          <cell r="I599" t="str">
            <v>T</v>
          </cell>
          <cell r="J599">
            <v>7</v>
          </cell>
          <cell r="K599">
            <v>0</v>
          </cell>
          <cell r="L599" t="str">
            <v>A DEFINIR</v>
          </cell>
          <cell r="M599" t="str">
            <v>NÃO</v>
          </cell>
          <cell r="N599" t="str">
            <v>NÃO</v>
          </cell>
        </row>
        <row r="600">
          <cell r="A600" t="str">
            <v>HORF042</v>
          </cell>
          <cell r="B600" t="str">
            <v>HOR</v>
          </cell>
          <cell r="C600" t="str">
            <v>F042</v>
          </cell>
          <cell r="D600">
            <v>45160</v>
          </cell>
          <cell r="E600" t="str">
            <v>RUA CONDE DE BONFIM , 496</v>
          </cell>
          <cell r="F600" t="str">
            <v>TIJUCA - LEVE</v>
          </cell>
          <cell r="G600" t="str">
            <v>RIO DE JANEIRO</v>
          </cell>
          <cell r="H600" t="str">
            <v>RJ</v>
          </cell>
          <cell r="I600" t="str">
            <v>T</v>
          </cell>
          <cell r="J600">
            <v>7</v>
          </cell>
          <cell r="K600">
            <v>0</v>
          </cell>
          <cell r="L600" t="str">
            <v>ANTÔNIO</v>
          </cell>
          <cell r="M600" t="str">
            <v>NÃO</v>
          </cell>
          <cell r="N600" t="str">
            <v>NÃO</v>
          </cell>
        </row>
        <row r="601">
          <cell r="A601" t="str">
            <v>HORF045</v>
          </cell>
          <cell r="B601" t="str">
            <v>HOR</v>
          </cell>
          <cell r="C601" t="str">
            <v>F045</v>
          </cell>
          <cell r="D601">
            <v>45160</v>
          </cell>
          <cell r="E601" t="str">
            <v>ESTRADA FRANCISCO DA CRUZ NUNES , 8758</v>
          </cell>
          <cell r="F601" t="str">
            <v>ITAIPU</v>
          </cell>
          <cell r="G601" t="str">
            <v>NITERÓI</v>
          </cell>
          <cell r="H601" t="str">
            <v>RJ</v>
          </cell>
          <cell r="I601" t="str">
            <v>T</v>
          </cell>
          <cell r="J601">
            <v>15</v>
          </cell>
          <cell r="K601">
            <v>0</v>
          </cell>
          <cell r="L601" t="str">
            <v>A DEFINIR</v>
          </cell>
          <cell r="M601" t="str">
            <v>01 VAN</v>
          </cell>
          <cell r="N601">
            <v>0.66666666666666663</v>
          </cell>
        </row>
        <row r="602">
          <cell r="A602" t="str">
            <v>JAU42</v>
          </cell>
          <cell r="B602" t="str">
            <v>JAU</v>
          </cell>
          <cell r="C602">
            <v>42</v>
          </cell>
          <cell r="D602">
            <v>45160</v>
          </cell>
          <cell r="E602" t="str">
            <v>AV : DES. JOÃO B. DE ARRUDA SAMPAIO , 300</v>
          </cell>
          <cell r="F602" t="str">
            <v>JD. JULIANA</v>
          </cell>
          <cell r="G602" t="str">
            <v>JAÚ</v>
          </cell>
          <cell r="H602" t="str">
            <v>SP INT BAURU</v>
          </cell>
          <cell r="I602" t="str">
            <v>T</v>
          </cell>
          <cell r="J602">
            <v>30</v>
          </cell>
          <cell r="K602">
            <v>0</v>
          </cell>
          <cell r="L602" t="str">
            <v>ROSÂNGELA</v>
          </cell>
          <cell r="M602" t="str">
            <v>02 VANS</v>
          </cell>
          <cell r="N602">
            <v>0.6875</v>
          </cell>
        </row>
        <row r="603">
          <cell r="A603" t="str">
            <v>OXX1086087</v>
          </cell>
          <cell r="B603" t="str">
            <v>OXX</v>
          </cell>
          <cell r="C603">
            <v>1086087</v>
          </cell>
          <cell r="D603">
            <v>45160</v>
          </cell>
          <cell r="E603" t="str">
            <v xml:space="preserve">RUA NOSSA SENHORA DE FÁTIMA , 1366 </v>
          </cell>
          <cell r="F603" t="str">
            <v>TAQUARAL - NS DE FÁTIMA</v>
          </cell>
          <cell r="G603" t="str">
            <v>CAMPINAS</v>
          </cell>
          <cell r="H603" t="str">
            <v>SP INT CPN</v>
          </cell>
          <cell r="I603" t="str">
            <v>P</v>
          </cell>
          <cell r="J603">
            <v>3</v>
          </cell>
          <cell r="K603" t="str">
            <v>DIURNO</v>
          </cell>
          <cell r="L603" t="str">
            <v>LEONARDO</v>
          </cell>
          <cell r="M603" t="str">
            <v>NÃO</v>
          </cell>
          <cell r="N603" t="str">
            <v>NÃO</v>
          </cell>
        </row>
        <row r="604">
          <cell r="A604" t="str">
            <v>OXX1086825</v>
          </cell>
          <cell r="B604" t="str">
            <v>OXX</v>
          </cell>
          <cell r="C604">
            <v>1086825</v>
          </cell>
          <cell r="D604">
            <v>45160</v>
          </cell>
          <cell r="E604" t="str">
            <v>RUA SACRAMENTO , 833</v>
          </cell>
          <cell r="F604" t="str">
            <v>VILA ITAPURA - SACRAMENTO</v>
          </cell>
          <cell r="G604" t="str">
            <v>CAMPINAS</v>
          </cell>
          <cell r="H604" t="str">
            <v>SP INT CPN</v>
          </cell>
          <cell r="I604" t="str">
            <v>P</v>
          </cell>
          <cell r="J604">
            <v>3</v>
          </cell>
          <cell r="K604" t="str">
            <v>DIURNO</v>
          </cell>
          <cell r="L604" t="str">
            <v>LETÍCIA/EVA</v>
          </cell>
          <cell r="M604" t="str">
            <v>NÃO</v>
          </cell>
          <cell r="N604" t="str">
            <v>NÃO</v>
          </cell>
        </row>
        <row r="605">
          <cell r="A605" t="str">
            <v>OXX1102254</v>
          </cell>
          <cell r="B605" t="str">
            <v>OXX</v>
          </cell>
          <cell r="C605">
            <v>1102254</v>
          </cell>
          <cell r="D605">
            <v>45160</v>
          </cell>
          <cell r="E605" t="str">
            <v>AV : DOM JOAQUIM MAMEDE DA SILVA LEITE , 150</v>
          </cell>
          <cell r="F605" t="str">
            <v>JD. DO LAGO - MAMEDE</v>
          </cell>
          <cell r="G605" t="str">
            <v>CAMPINAS</v>
          </cell>
          <cell r="H605" t="str">
            <v>SP INT CPN</v>
          </cell>
          <cell r="I605" t="str">
            <v>P</v>
          </cell>
          <cell r="J605">
            <v>3</v>
          </cell>
          <cell r="K605" t="str">
            <v>DIURNO</v>
          </cell>
          <cell r="L605" t="str">
            <v>IZABELA/THALIA</v>
          </cell>
          <cell r="M605" t="str">
            <v>NÃO</v>
          </cell>
          <cell r="N605" t="str">
            <v>NÃO</v>
          </cell>
        </row>
        <row r="606">
          <cell r="A606" t="str">
            <v>SVG55</v>
          </cell>
          <cell r="B606" t="str">
            <v>SVG</v>
          </cell>
          <cell r="C606">
            <v>55</v>
          </cell>
          <cell r="D606">
            <v>45160</v>
          </cell>
          <cell r="E606" t="str">
            <v>RUA LUIZ CAMILO DE CAMARGO , 332</v>
          </cell>
          <cell r="F606" t="str">
            <v>VILA SÃO FRANCISCO</v>
          </cell>
          <cell r="G606" t="str">
            <v>HORTOLÂNDIA</v>
          </cell>
          <cell r="H606" t="str">
            <v>SP INT LIMEIRA</v>
          </cell>
          <cell r="I606" t="str">
            <v>P</v>
          </cell>
          <cell r="J606">
            <v>26</v>
          </cell>
          <cell r="K606" t="str">
            <v>APOIO SUL</v>
          </cell>
          <cell r="L606" t="str">
            <v>GUSTAVO</v>
          </cell>
          <cell r="M606" t="str">
            <v>02 VANS</v>
          </cell>
          <cell r="N606">
            <v>0.6875</v>
          </cell>
        </row>
        <row r="607">
          <cell r="A607" t="str">
            <v>EXS5735</v>
          </cell>
          <cell r="B607" t="str">
            <v>EXS</v>
          </cell>
          <cell r="C607">
            <v>5735</v>
          </cell>
          <cell r="D607">
            <v>45160</v>
          </cell>
          <cell r="E607" t="str">
            <v xml:space="preserve">RUA CHEQUER ASSIS , 85              </v>
          </cell>
          <cell r="F607" t="str">
            <v>JD. GUANABARA</v>
          </cell>
          <cell r="G607" t="str">
            <v>MONTE MOR</v>
          </cell>
          <cell r="H607" t="str">
            <v>SP INT SJC</v>
          </cell>
          <cell r="I607" t="str">
            <v>T</v>
          </cell>
          <cell r="J607">
            <v>28</v>
          </cell>
          <cell r="K607">
            <v>0</v>
          </cell>
          <cell r="L607" t="str">
            <v>JAÍNE</v>
          </cell>
          <cell r="M607" t="str">
            <v>02 VANS</v>
          </cell>
          <cell r="N607">
            <v>0.66666666666666663</v>
          </cell>
        </row>
        <row r="608">
          <cell r="A608" t="str">
            <v>CFX576</v>
          </cell>
          <cell r="B608" t="str">
            <v>CFX</v>
          </cell>
          <cell r="C608">
            <v>576</v>
          </cell>
          <cell r="D608">
            <v>45160</v>
          </cell>
          <cell r="E608" t="str">
            <v>AV : ENG. LUIZ CARLOS BERRINI , 1493</v>
          </cell>
          <cell r="F608" t="str">
            <v>CIDADE MONÇÕES - BERRINI I</v>
          </cell>
          <cell r="G608" t="str">
            <v>SÃO PAULO</v>
          </cell>
          <cell r="H608" t="str">
            <v>SP LESTE</v>
          </cell>
          <cell r="I608" t="str">
            <v>T</v>
          </cell>
          <cell r="J608">
            <v>9</v>
          </cell>
          <cell r="K608">
            <v>0</v>
          </cell>
          <cell r="L608" t="str">
            <v>CARINA</v>
          </cell>
          <cell r="M608" t="str">
            <v>NÃO</v>
          </cell>
          <cell r="N608" t="str">
            <v>NÃO</v>
          </cell>
        </row>
        <row r="609">
          <cell r="A609" t="str">
            <v>CFX710</v>
          </cell>
          <cell r="B609" t="str">
            <v>CFX</v>
          </cell>
          <cell r="C609">
            <v>710</v>
          </cell>
          <cell r="D609">
            <v>45160</v>
          </cell>
          <cell r="E609" t="str">
            <v>AV : PAULISTA , 171</v>
          </cell>
          <cell r="F609" t="str">
            <v>PARAÍSO</v>
          </cell>
          <cell r="G609" t="str">
            <v>SÃO PAULO</v>
          </cell>
          <cell r="H609" t="str">
            <v>SP LESTE</v>
          </cell>
          <cell r="I609" t="str">
            <v>T</v>
          </cell>
          <cell r="J609">
            <v>7</v>
          </cell>
          <cell r="K609">
            <v>0</v>
          </cell>
          <cell r="L609" t="str">
            <v>CHRIS</v>
          </cell>
          <cell r="M609" t="str">
            <v>NÃO</v>
          </cell>
          <cell r="N609" t="str">
            <v>NÃO</v>
          </cell>
        </row>
        <row r="610">
          <cell r="A610" t="str">
            <v>DSP314</v>
          </cell>
          <cell r="B610" t="str">
            <v>DSP</v>
          </cell>
          <cell r="C610">
            <v>314</v>
          </cell>
          <cell r="D610">
            <v>45160</v>
          </cell>
          <cell r="E610" t="str">
            <v>AV : JOSÉ BONIFÁCIO , 1266</v>
          </cell>
          <cell r="F610" t="str">
            <v>JD. FLAMBOYANT</v>
          </cell>
          <cell r="G610" t="str">
            <v>CAMPINAS</v>
          </cell>
          <cell r="H610" t="str">
            <v>SP LESTE</v>
          </cell>
          <cell r="I610" t="str">
            <v>T</v>
          </cell>
          <cell r="J610">
            <v>13</v>
          </cell>
          <cell r="K610">
            <v>0</v>
          </cell>
          <cell r="L610" t="str">
            <v>JÉSSICA</v>
          </cell>
          <cell r="M610" t="str">
            <v>01 VAN</v>
          </cell>
          <cell r="N610">
            <v>0.72916666666666663</v>
          </cell>
        </row>
        <row r="611">
          <cell r="A611" t="str">
            <v>DSP748</v>
          </cell>
          <cell r="B611" t="str">
            <v>DSP</v>
          </cell>
          <cell r="C611">
            <v>748</v>
          </cell>
          <cell r="D611">
            <v>45160</v>
          </cell>
          <cell r="E611" t="str">
            <v>AV : MARECHAL CARMONA , 304</v>
          </cell>
          <cell r="F611" t="str">
            <v>VILA JOÃO JORGE</v>
          </cell>
          <cell r="G611" t="str">
            <v>CAMPINAS</v>
          </cell>
          <cell r="H611" t="str">
            <v>SP LESTE</v>
          </cell>
          <cell r="I611" t="str">
            <v>T</v>
          </cell>
          <cell r="J611">
            <v>11</v>
          </cell>
          <cell r="K611">
            <v>0</v>
          </cell>
          <cell r="L611" t="str">
            <v>MARCELO</v>
          </cell>
          <cell r="M611" t="str">
            <v>01 VAN</v>
          </cell>
          <cell r="N611">
            <v>0.72916666666666663</v>
          </cell>
        </row>
        <row r="612">
          <cell r="A612" t="str">
            <v>GIG911</v>
          </cell>
          <cell r="B612" t="str">
            <v>GIG</v>
          </cell>
          <cell r="C612">
            <v>911</v>
          </cell>
          <cell r="D612">
            <v>45160</v>
          </cell>
          <cell r="E612" t="str">
            <v>AV : DOS REMÉDIOS , 2555</v>
          </cell>
          <cell r="F612" t="str">
            <v>REMÉDIOS</v>
          </cell>
          <cell r="G612" t="str">
            <v>OSASCO</v>
          </cell>
          <cell r="H612" t="str">
            <v>SP LESTE</v>
          </cell>
          <cell r="I612" t="str">
            <v>CP</v>
          </cell>
          <cell r="J612">
            <v>1</v>
          </cell>
          <cell r="K612" t="str">
            <v>DIURNO</v>
          </cell>
          <cell r="L612" t="str">
            <v>GINA</v>
          </cell>
          <cell r="M612" t="str">
            <v>UBER</v>
          </cell>
          <cell r="N612">
            <v>0.25</v>
          </cell>
        </row>
        <row r="613">
          <cell r="A613" t="str">
            <v>GIG911</v>
          </cell>
          <cell r="B613" t="str">
            <v>GIG</v>
          </cell>
          <cell r="C613">
            <v>911</v>
          </cell>
          <cell r="D613">
            <v>45160</v>
          </cell>
          <cell r="E613" t="str">
            <v>AV : DOS REMÉDIOS , 2555</v>
          </cell>
          <cell r="F613" t="str">
            <v>REMÉDIOS</v>
          </cell>
          <cell r="G613" t="str">
            <v>OSASCO</v>
          </cell>
          <cell r="H613" t="str">
            <v>SP LESTE</v>
          </cell>
          <cell r="I613" t="str">
            <v>T</v>
          </cell>
          <cell r="J613">
            <v>44</v>
          </cell>
          <cell r="K613">
            <v>0</v>
          </cell>
          <cell r="L613" t="str">
            <v>PATRÍCIA/LUANA</v>
          </cell>
          <cell r="M613" t="str">
            <v>03 VANS</v>
          </cell>
          <cell r="N613">
            <v>0.77083333333333337</v>
          </cell>
        </row>
        <row r="614">
          <cell r="A614" t="str">
            <v>HNTN007</v>
          </cell>
          <cell r="B614" t="str">
            <v>HNT</v>
          </cell>
          <cell r="C614" t="str">
            <v>N007</v>
          </cell>
          <cell r="D614">
            <v>45160</v>
          </cell>
          <cell r="E614" t="str">
            <v>AV : DOS IMARÉS , 448</v>
          </cell>
          <cell r="F614" t="str">
            <v>INDIANÓPOLIS - NHAMBIQUARAS</v>
          </cell>
          <cell r="G614" t="str">
            <v>SÃO PAULO</v>
          </cell>
          <cell r="H614" t="str">
            <v>SP LESTE</v>
          </cell>
          <cell r="I614" t="str">
            <v>T</v>
          </cell>
          <cell r="J614">
            <v>17</v>
          </cell>
          <cell r="K614">
            <v>0</v>
          </cell>
          <cell r="L614" t="str">
            <v>LUÍS/ANTÔNIO</v>
          </cell>
          <cell r="M614" t="str">
            <v>NÃO</v>
          </cell>
          <cell r="N614" t="str">
            <v>NÃO</v>
          </cell>
        </row>
        <row r="615">
          <cell r="A615" t="str">
            <v>PMO54</v>
          </cell>
          <cell r="B615" t="str">
            <v>PMO</v>
          </cell>
          <cell r="C615">
            <v>54</v>
          </cell>
          <cell r="D615">
            <v>45160</v>
          </cell>
          <cell r="E615" t="str">
            <v>AV : TUCURUVI , 248 - TUCURUVI</v>
          </cell>
          <cell r="F615" t="str">
            <v>SHOPPING TRIMAIS</v>
          </cell>
          <cell r="G615" t="str">
            <v>SÃO PAULO</v>
          </cell>
          <cell r="H615" t="str">
            <v>SP LESTE</v>
          </cell>
          <cell r="I615" t="str">
            <v>T</v>
          </cell>
          <cell r="J615">
            <v>6</v>
          </cell>
          <cell r="K615">
            <v>0</v>
          </cell>
          <cell r="L615" t="str">
            <v>TAMIRES</v>
          </cell>
          <cell r="M615" t="str">
            <v>NÃO</v>
          </cell>
          <cell r="N615" t="str">
            <v>NÃO</v>
          </cell>
        </row>
        <row r="616">
          <cell r="A616" t="str">
            <v>OXX1096001</v>
          </cell>
          <cell r="B616" t="str">
            <v>OXX</v>
          </cell>
          <cell r="C616">
            <v>1096001</v>
          </cell>
          <cell r="D616">
            <v>45160</v>
          </cell>
          <cell r="E616" t="str">
            <v>RUA DONA TECLA , 329</v>
          </cell>
          <cell r="F616" t="str">
            <v>JD. FLOR DA MONTANHA</v>
          </cell>
          <cell r="G616" t="str">
            <v>GUARULHOS</v>
          </cell>
          <cell r="H616" t="str">
            <v>SP LESTE X</v>
          </cell>
          <cell r="I616" t="str">
            <v>P</v>
          </cell>
          <cell r="J616">
            <v>3</v>
          </cell>
          <cell r="K616" t="str">
            <v>DIURNO</v>
          </cell>
          <cell r="L616" t="str">
            <v>GAMA</v>
          </cell>
          <cell r="M616" t="str">
            <v>UBER</v>
          </cell>
          <cell r="N616">
            <v>0.29166666666666669</v>
          </cell>
        </row>
        <row r="617">
          <cell r="A617" t="str">
            <v>OXX1098227</v>
          </cell>
          <cell r="B617" t="str">
            <v>OXX</v>
          </cell>
          <cell r="C617">
            <v>1098227</v>
          </cell>
          <cell r="D617">
            <v>45160</v>
          </cell>
          <cell r="E617" t="str">
            <v>RUA CORONEL ORTIZ , 726</v>
          </cell>
          <cell r="F617" t="str">
            <v>VILA ASSUNÇÃO - HOSPITAL</v>
          </cell>
          <cell r="G617" t="str">
            <v>SANTO ANDRÉ</v>
          </cell>
          <cell r="H617" t="str">
            <v>SP LESTE X</v>
          </cell>
          <cell r="I617" t="str">
            <v>P</v>
          </cell>
          <cell r="J617">
            <v>3</v>
          </cell>
          <cell r="K617" t="str">
            <v>DIURNO</v>
          </cell>
          <cell r="L617" t="str">
            <v>CÁSSIA</v>
          </cell>
          <cell r="M617" t="str">
            <v>UBER</v>
          </cell>
          <cell r="N617">
            <v>0.3125</v>
          </cell>
        </row>
        <row r="618">
          <cell r="A618" t="str">
            <v>OXX1099752</v>
          </cell>
          <cell r="B618" t="str">
            <v>OXX</v>
          </cell>
          <cell r="C618">
            <v>1099752</v>
          </cell>
          <cell r="D618">
            <v>45160</v>
          </cell>
          <cell r="E618" t="str">
            <v>RUA SERRA DE BOTUCATU , 747</v>
          </cell>
          <cell r="F618" t="str">
            <v>TATUAPÉ - CARIOCA</v>
          </cell>
          <cell r="G618" t="str">
            <v>SÃO PAULO</v>
          </cell>
          <cell r="H618" t="str">
            <v>SP LESTE X</v>
          </cell>
          <cell r="I618" t="str">
            <v>P</v>
          </cell>
          <cell r="J618">
            <v>3</v>
          </cell>
          <cell r="K618" t="str">
            <v>DIURNO</v>
          </cell>
          <cell r="L618" t="str">
            <v>LARISSA</v>
          </cell>
          <cell r="M618" t="str">
            <v>NÃO</v>
          </cell>
          <cell r="N618" t="str">
            <v>NÃO</v>
          </cell>
        </row>
        <row r="619">
          <cell r="A619" t="str">
            <v>OXX1100455</v>
          </cell>
          <cell r="B619" t="str">
            <v>OXX</v>
          </cell>
          <cell r="C619">
            <v>1100455</v>
          </cell>
          <cell r="D619">
            <v>45160</v>
          </cell>
          <cell r="E619" t="str">
            <v>RUA BRESSER , 1402</v>
          </cell>
          <cell r="F619" t="str">
            <v>BRÁS - BRESSER</v>
          </cell>
          <cell r="G619" t="str">
            <v>SÃO PAULO</v>
          </cell>
          <cell r="H619" t="str">
            <v>SP LESTE X</v>
          </cell>
          <cell r="I619" t="str">
            <v>P</v>
          </cell>
          <cell r="J619">
            <v>3</v>
          </cell>
          <cell r="K619" t="str">
            <v>DIURNO</v>
          </cell>
          <cell r="L619" t="str">
            <v>JOSÉ WELVYS</v>
          </cell>
          <cell r="M619" t="str">
            <v>NÃO</v>
          </cell>
          <cell r="N619" t="str">
            <v>NÃO</v>
          </cell>
        </row>
        <row r="620">
          <cell r="A620" t="str">
            <v>OXX1100733</v>
          </cell>
          <cell r="B620" t="str">
            <v>OXX</v>
          </cell>
          <cell r="C620">
            <v>1100733</v>
          </cell>
          <cell r="D620">
            <v>45160</v>
          </cell>
          <cell r="E620" t="str">
            <v>RUA SÃO PAULO , 881</v>
          </cell>
          <cell r="F620" t="str">
            <v>CERÂMICA - ATELIER</v>
          </cell>
          <cell r="G620" t="str">
            <v>SÃO CAETANO DO SUL</v>
          </cell>
          <cell r="H620" t="str">
            <v>SP LESTE X</v>
          </cell>
          <cell r="I620" t="str">
            <v>P</v>
          </cell>
          <cell r="J620">
            <v>3</v>
          </cell>
          <cell r="K620" t="str">
            <v>DIURNO</v>
          </cell>
          <cell r="L620" t="str">
            <v>ANDERSON</v>
          </cell>
          <cell r="M620" t="str">
            <v>UBER</v>
          </cell>
          <cell r="N620">
            <v>0.3125</v>
          </cell>
        </row>
        <row r="621">
          <cell r="A621" t="str">
            <v>OXX1101516</v>
          </cell>
          <cell r="B621" t="str">
            <v>OXX</v>
          </cell>
          <cell r="C621">
            <v>1101516</v>
          </cell>
          <cell r="D621">
            <v>45160</v>
          </cell>
          <cell r="E621" t="str">
            <v>RUA SIUCI , 56</v>
          </cell>
          <cell r="F621" t="str">
            <v>PENHA - TIQUATIRA</v>
          </cell>
          <cell r="G621" t="str">
            <v>SÃO PAULO</v>
          </cell>
          <cell r="H621" t="str">
            <v>SP LESTE X</v>
          </cell>
          <cell r="I621" t="str">
            <v>P</v>
          </cell>
          <cell r="J621">
            <v>3</v>
          </cell>
          <cell r="K621" t="str">
            <v>DIURNO</v>
          </cell>
          <cell r="L621" t="str">
            <v>ARTHUR</v>
          </cell>
          <cell r="M621" t="str">
            <v>NÃO</v>
          </cell>
          <cell r="N621" t="str">
            <v>NÃO</v>
          </cell>
        </row>
        <row r="622">
          <cell r="A622" t="str">
            <v>PVI180</v>
          </cell>
          <cell r="B622" t="str">
            <v>PVI</v>
          </cell>
          <cell r="C622">
            <v>180</v>
          </cell>
          <cell r="D622">
            <v>45160</v>
          </cell>
          <cell r="E622" t="str">
            <v>AV : ROQUE PETRONI JR. , 1089 - JD. DAS ACÁCIAS</v>
          </cell>
          <cell r="F622" t="str">
            <v>SHOPPING MORUMBI</v>
          </cell>
          <cell r="G622" t="str">
            <v>SÃO PAULO</v>
          </cell>
          <cell r="H622" t="str">
            <v>SP SUL</v>
          </cell>
          <cell r="I622" t="str">
            <v>T</v>
          </cell>
          <cell r="J622">
            <v>5</v>
          </cell>
          <cell r="K622">
            <v>0</v>
          </cell>
          <cell r="L622" t="str">
            <v>YGOR</v>
          </cell>
          <cell r="M622" t="str">
            <v>NÃO</v>
          </cell>
          <cell r="N622" t="str">
            <v>NÃO</v>
          </cell>
        </row>
        <row r="623">
          <cell r="A623" t="str">
            <v>RODR010</v>
          </cell>
          <cell r="B623" t="str">
            <v>ROD</v>
          </cell>
          <cell r="C623" t="str">
            <v>R010</v>
          </cell>
          <cell r="D623">
            <v>45160</v>
          </cell>
          <cell r="E623" t="str">
            <v>RUA DO MANIFESTO , 1183 </v>
          </cell>
          <cell r="F623" t="str">
            <v>IPIRANGA</v>
          </cell>
          <cell r="G623" t="str">
            <v>SÃO PAULO</v>
          </cell>
          <cell r="H623" t="str">
            <v>SP SUL</v>
          </cell>
          <cell r="I623" t="str">
            <v>CA</v>
          </cell>
          <cell r="J623">
            <v>14</v>
          </cell>
          <cell r="K623" t="str">
            <v>DIURNO</v>
          </cell>
          <cell r="L623" t="str">
            <v>CARLOS</v>
          </cell>
          <cell r="M623" t="str">
            <v>NÃO</v>
          </cell>
          <cell r="N623" t="str">
            <v>NÃO</v>
          </cell>
        </row>
        <row r="624">
          <cell r="A624" t="str">
            <v>RODR010</v>
          </cell>
          <cell r="B624" t="str">
            <v>ROD</v>
          </cell>
          <cell r="C624" t="str">
            <v>R010</v>
          </cell>
          <cell r="D624">
            <v>45160</v>
          </cell>
          <cell r="E624" t="str">
            <v>RUA DO MANIFESTO , 1183 </v>
          </cell>
          <cell r="F624" t="str">
            <v>IPIRANGA</v>
          </cell>
          <cell r="G624" t="str">
            <v>SÃO PAULO</v>
          </cell>
          <cell r="H624" t="str">
            <v>SP SUL</v>
          </cell>
          <cell r="I624" t="str">
            <v>T</v>
          </cell>
          <cell r="J624">
            <v>39</v>
          </cell>
          <cell r="K624">
            <v>0</v>
          </cell>
          <cell r="L624" t="str">
            <v>CAMILA/VIANA/JUSCELINO</v>
          </cell>
          <cell r="M624" t="str">
            <v>NÃO</v>
          </cell>
          <cell r="N624" t="str">
            <v>NÃO</v>
          </cell>
        </row>
        <row r="625">
          <cell r="A625" t="str">
            <v>STMS801</v>
          </cell>
          <cell r="B625" t="str">
            <v>STM</v>
          </cell>
          <cell r="C625" t="str">
            <v>S801</v>
          </cell>
          <cell r="D625">
            <v>45160</v>
          </cell>
          <cell r="E625" t="str">
            <v>ESTRADA DA ALDEIA , 186 ( Km 22 RAP. TAVARES )</v>
          </cell>
          <cell r="F625" t="str">
            <v>GRANJA VIANA</v>
          </cell>
          <cell r="G625" t="str">
            <v>COTIA</v>
          </cell>
          <cell r="H625" t="str">
            <v>SP SUL</v>
          </cell>
          <cell r="I625" t="str">
            <v>T</v>
          </cell>
          <cell r="J625">
            <v>38</v>
          </cell>
          <cell r="K625">
            <v>0</v>
          </cell>
          <cell r="L625" t="str">
            <v>RUAN</v>
          </cell>
          <cell r="M625" t="str">
            <v>03 VANS</v>
          </cell>
          <cell r="N625">
            <v>0.6875</v>
          </cell>
        </row>
        <row r="626">
          <cell r="A626" t="str">
            <v>SVG55</v>
          </cell>
          <cell r="B626" t="str">
            <v>SVG</v>
          </cell>
          <cell r="C626">
            <v>55</v>
          </cell>
          <cell r="D626">
            <v>45160</v>
          </cell>
          <cell r="E626" t="str">
            <v>RUA LUIZ CAMILO DE CAMARGO , 332</v>
          </cell>
          <cell r="F626" t="str">
            <v>VILA SÃO FRANCISCO</v>
          </cell>
          <cell r="G626" t="str">
            <v>HORTOLÂNDIA</v>
          </cell>
          <cell r="H626" t="str">
            <v>SP SUL</v>
          </cell>
          <cell r="I626" t="str">
            <v>APOIO</v>
          </cell>
          <cell r="J626">
            <v>12</v>
          </cell>
          <cell r="K626">
            <v>0</v>
          </cell>
          <cell r="L626" t="str">
            <v>ELAINE</v>
          </cell>
          <cell r="M626" t="str">
            <v>01 VAN</v>
          </cell>
          <cell r="N626">
            <v>0.66666666666666663</v>
          </cell>
        </row>
        <row r="627">
          <cell r="A627" t="str">
            <v>OXX1090109</v>
          </cell>
          <cell r="B627" t="str">
            <v>OXX</v>
          </cell>
          <cell r="C627">
            <v>1090109</v>
          </cell>
          <cell r="D627">
            <v>45160</v>
          </cell>
          <cell r="E627" t="str">
            <v>RUA DOMINGOS DE MORAIS , 1493</v>
          </cell>
          <cell r="F627" t="str">
            <v>VILA MARIANA</v>
          </cell>
          <cell r="G627" t="str">
            <v>SÃO PAULO</v>
          </cell>
          <cell r="H627" t="str">
            <v>SP SUL X</v>
          </cell>
          <cell r="I627" t="str">
            <v>P</v>
          </cell>
          <cell r="J627">
            <v>3</v>
          </cell>
          <cell r="K627" t="str">
            <v>DIURNO</v>
          </cell>
          <cell r="L627" t="str">
            <v>CLAUDIA</v>
          </cell>
          <cell r="M627" t="str">
            <v>NÃO</v>
          </cell>
          <cell r="N627" t="str">
            <v>NÃO</v>
          </cell>
        </row>
        <row r="628">
          <cell r="A628" t="str">
            <v>OXX1094363</v>
          </cell>
          <cell r="B628" t="str">
            <v>OXX</v>
          </cell>
          <cell r="C628">
            <v>1094363</v>
          </cell>
          <cell r="D628">
            <v>45160</v>
          </cell>
          <cell r="E628" t="str">
            <v>AV : PROF. JOSÉ AZEVEDO MINHOTO , 324</v>
          </cell>
          <cell r="F628" t="str">
            <v>KM 18</v>
          </cell>
          <cell r="G628" t="str">
            <v>OSASCO</v>
          </cell>
          <cell r="H628" t="str">
            <v>SP SUL X</v>
          </cell>
          <cell r="I628" t="str">
            <v>P</v>
          </cell>
          <cell r="J628">
            <v>3</v>
          </cell>
          <cell r="K628" t="str">
            <v>DIURNO</v>
          </cell>
          <cell r="L628" t="str">
            <v>ANDRÉ</v>
          </cell>
          <cell r="M628" t="str">
            <v>NÃO</v>
          </cell>
          <cell r="N628" t="str">
            <v>NÃO</v>
          </cell>
        </row>
        <row r="629">
          <cell r="A629" t="str">
            <v>OXX1097054</v>
          </cell>
          <cell r="B629" t="str">
            <v>OXX</v>
          </cell>
          <cell r="C629">
            <v>1097054</v>
          </cell>
          <cell r="D629">
            <v>45160</v>
          </cell>
          <cell r="E629" t="str">
            <v>RUA CAPITÃO MACEDO , 246</v>
          </cell>
          <cell r="F629" t="str">
            <v>VILA CLEMENTINO - CAP. MACEDO</v>
          </cell>
          <cell r="G629" t="str">
            <v>SÃO PAULO</v>
          </cell>
          <cell r="H629" t="str">
            <v>SP SUL X</v>
          </cell>
          <cell r="I629" t="str">
            <v>P</v>
          </cell>
          <cell r="J629">
            <v>3</v>
          </cell>
          <cell r="K629" t="str">
            <v>DIURNO</v>
          </cell>
          <cell r="L629" t="str">
            <v>NATHALIA</v>
          </cell>
          <cell r="M629" t="str">
            <v>NÃO</v>
          </cell>
          <cell r="N629" t="str">
            <v>NÃO</v>
          </cell>
        </row>
        <row r="630">
          <cell r="A630" t="str">
            <v>OXX1100330</v>
          </cell>
          <cell r="B630" t="str">
            <v>OXX</v>
          </cell>
          <cell r="C630">
            <v>1100330</v>
          </cell>
          <cell r="D630">
            <v>45160</v>
          </cell>
          <cell r="E630" t="str">
            <v>RUA PALESTINA , 376</v>
          </cell>
          <cell r="F630" t="str">
            <v>VILA MASCOTE - DERVAL</v>
          </cell>
          <cell r="G630" t="str">
            <v>SÃO PAULO</v>
          </cell>
          <cell r="H630" t="str">
            <v>SP SUL X</v>
          </cell>
          <cell r="I630" t="str">
            <v>P</v>
          </cell>
          <cell r="J630">
            <v>3</v>
          </cell>
          <cell r="K630" t="str">
            <v>DIURNO</v>
          </cell>
          <cell r="L630" t="str">
            <v>JÉSSICA</v>
          </cell>
          <cell r="M630" t="str">
            <v>NÃO</v>
          </cell>
          <cell r="N630" t="str">
            <v>NÃO</v>
          </cell>
        </row>
        <row r="631">
          <cell r="A631" t="str">
            <v>OXX1100673</v>
          </cell>
          <cell r="B631" t="str">
            <v>OXX</v>
          </cell>
          <cell r="C631">
            <v>1100673</v>
          </cell>
          <cell r="D631">
            <v>45160</v>
          </cell>
          <cell r="E631" t="str">
            <v>RUA CLÉLIA , 1699</v>
          </cell>
          <cell r="F631" t="str">
            <v>LAPA - FAR CLÉLIA</v>
          </cell>
          <cell r="G631" t="str">
            <v>SÃO PAULO</v>
          </cell>
          <cell r="H631" t="str">
            <v>SP SUL X</v>
          </cell>
          <cell r="I631" t="str">
            <v>P</v>
          </cell>
          <cell r="J631">
            <v>3</v>
          </cell>
          <cell r="K631" t="str">
            <v>DIURNO</v>
          </cell>
          <cell r="L631" t="str">
            <v>FLAVIA</v>
          </cell>
          <cell r="M631" t="str">
            <v>NÃO</v>
          </cell>
          <cell r="N631" t="str">
            <v>NÃO</v>
          </cell>
        </row>
        <row r="632">
          <cell r="A632" t="str">
            <v/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 t="str">
            <v>Total</v>
          </cell>
          <cell r="J632">
            <v>429</v>
          </cell>
          <cell r="K632">
            <v>161</v>
          </cell>
          <cell r="L632">
            <v>0</v>
          </cell>
          <cell r="M632">
            <v>0</v>
          </cell>
          <cell r="N632">
            <v>0</v>
          </cell>
        </row>
        <row r="633">
          <cell r="A633" t="str">
            <v/>
          </cell>
          <cell r="B633">
            <v>0</v>
          </cell>
          <cell r="C633">
            <v>0</v>
          </cell>
          <cell r="D633">
            <v>0</v>
          </cell>
          <cell r="E633">
            <v>45161</v>
          </cell>
          <cell r="F633" t="str">
            <v>QUARTA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A634" t="str">
            <v>CFO150</v>
          </cell>
          <cell r="B634" t="str">
            <v>CFO</v>
          </cell>
          <cell r="C634">
            <v>150</v>
          </cell>
          <cell r="D634">
            <v>45161</v>
          </cell>
          <cell r="E634" t="str">
            <v>RUA MATHIAS , 555</v>
          </cell>
          <cell r="F634" t="str">
            <v>MATHIAS VELHO</v>
          </cell>
          <cell r="G634" t="str">
            <v>CANOAS</v>
          </cell>
          <cell r="H634" t="str">
            <v>PORTO ALEGRE</v>
          </cell>
          <cell r="I634" t="str">
            <v>PA</v>
          </cell>
          <cell r="J634">
            <v>34</v>
          </cell>
          <cell r="K634">
            <v>0</v>
          </cell>
          <cell r="L634" t="str">
            <v>PAVAN</v>
          </cell>
          <cell r="M634" t="str">
            <v>NÃO</v>
          </cell>
          <cell r="N634" t="str">
            <v>NÃO</v>
          </cell>
        </row>
        <row r="635">
          <cell r="A635" t="str">
            <v>FSJ617</v>
          </cell>
          <cell r="B635" t="str">
            <v>FSJ</v>
          </cell>
          <cell r="C635">
            <v>617</v>
          </cell>
          <cell r="D635">
            <v>45161</v>
          </cell>
          <cell r="E635" t="str">
            <v>AV : MAURÍCIO CARDOSO , 84</v>
          </cell>
          <cell r="F635" t="str">
            <v>CENTRO - PIR 02</v>
          </cell>
          <cell r="G635" t="str">
            <v>PIRATINI</v>
          </cell>
          <cell r="H635" t="str">
            <v>PORTO ALEGRE</v>
          </cell>
          <cell r="I635" t="str">
            <v>T</v>
          </cell>
          <cell r="J635">
            <v>7</v>
          </cell>
          <cell r="K635" t="str">
            <v>EQ. PELOTAS</v>
          </cell>
          <cell r="L635" t="str">
            <v>PATRINE</v>
          </cell>
          <cell r="M635" t="str">
            <v>01 VAN</v>
          </cell>
          <cell r="N635">
            <v>0.77083333333333337</v>
          </cell>
        </row>
        <row r="636">
          <cell r="A636" t="str">
            <v>PEN769</v>
          </cell>
          <cell r="B636" t="str">
            <v>PEN</v>
          </cell>
          <cell r="C636">
            <v>769</v>
          </cell>
          <cell r="D636">
            <v>45161</v>
          </cell>
          <cell r="E636" t="str">
            <v>AV : GETÚLIO VARGAS , 1008</v>
          </cell>
          <cell r="F636" t="str">
            <v>CENTRO</v>
          </cell>
          <cell r="G636" t="str">
            <v>PIRAQUARA</v>
          </cell>
          <cell r="H636" t="str">
            <v>PR CURITIBA</v>
          </cell>
          <cell r="I636" t="str">
            <v>T</v>
          </cell>
          <cell r="J636">
            <v>8</v>
          </cell>
          <cell r="K636">
            <v>0</v>
          </cell>
          <cell r="L636" t="str">
            <v>HENRIQUE</v>
          </cell>
          <cell r="M636" t="str">
            <v>01 VAN</v>
          </cell>
          <cell r="N636">
            <v>0.6875</v>
          </cell>
        </row>
        <row r="637">
          <cell r="A637" t="str">
            <v>CFO327</v>
          </cell>
          <cell r="B637" t="str">
            <v>CFO</v>
          </cell>
          <cell r="C637">
            <v>327</v>
          </cell>
          <cell r="D637">
            <v>45161</v>
          </cell>
          <cell r="E637" t="str">
            <v>ESTRADA DAS CAPOEIRAS , 355</v>
          </cell>
          <cell r="F637" t="str">
            <v>CAMPO GRANDE</v>
          </cell>
          <cell r="G637" t="str">
            <v>RIO DE JANEIRO</v>
          </cell>
          <cell r="H637" t="str">
            <v>RJ</v>
          </cell>
          <cell r="I637" t="str">
            <v>PA</v>
          </cell>
          <cell r="J637">
            <v>26</v>
          </cell>
          <cell r="K637">
            <v>0</v>
          </cell>
          <cell r="L637" t="str">
            <v>ANTÔNIO</v>
          </cell>
          <cell r="M637" t="str">
            <v>NÃO</v>
          </cell>
          <cell r="N637" t="str">
            <v>NÃO</v>
          </cell>
        </row>
        <row r="638">
          <cell r="A638" t="str">
            <v>DSP740</v>
          </cell>
          <cell r="B638" t="str">
            <v>DSP</v>
          </cell>
          <cell r="C638">
            <v>740</v>
          </cell>
          <cell r="D638">
            <v>45161</v>
          </cell>
          <cell r="E638" t="str">
            <v>AV : GETÚLIO VARGAS , QUADRA 06-66</v>
          </cell>
          <cell r="F638" t="str">
            <v>VILA GUEDES DE AZEVEDO - 24h</v>
          </cell>
          <cell r="G638" t="str">
            <v>BAURU</v>
          </cell>
          <cell r="H638" t="str">
            <v>SP INT BAURU</v>
          </cell>
          <cell r="I638" t="str">
            <v>T</v>
          </cell>
          <cell r="J638">
            <v>13</v>
          </cell>
          <cell r="K638">
            <v>0</v>
          </cell>
          <cell r="L638" t="str">
            <v>ROSÂNGELA</v>
          </cell>
          <cell r="M638" t="str">
            <v>NÃO</v>
          </cell>
          <cell r="N638" t="str">
            <v>NÃO</v>
          </cell>
        </row>
        <row r="639">
          <cell r="A639" t="str">
            <v>OXX1088599</v>
          </cell>
          <cell r="B639" t="str">
            <v>OXX</v>
          </cell>
          <cell r="C639">
            <v>1088599</v>
          </cell>
          <cell r="D639">
            <v>45161</v>
          </cell>
          <cell r="E639" t="str">
            <v>RUA DOM PEDRO I , 488</v>
          </cell>
          <cell r="F639" t="str">
            <v>JD. BRASIL - MACKENZIE</v>
          </cell>
          <cell r="G639" t="str">
            <v>CAMPINAS</v>
          </cell>
          <cell r="H639" t="str">
            <v>SP INT CPN</v>
          </cell>
          <cell r="I639" t="str">
            <v>P</v>
          </cell>
          <cell r="J639">
            <v>3</v>
          </cell>
          <cell r="K639" t="str">
            <v>DIURNO</v>
          </cell>
          <cell r="L639" t="str">
            <v>IZABELA/THALIA</v>
          </cell>
          <cell r="M639" t="str">
            <v>NÃO</v>
          </cell>
          <cell r="N639" t="str">
            <v>NÃO</v>
          </cell>
        </row>
        <row r="640">
          <cell r="A640" t="str">
            <v>OXX1089327</v>
          </cell>
          <cell r="B640" t="str">
            <v>OXX</v>
          </cell>
          <cell r="C640">
            <v>1089327</v>
          </cell>
          <cell r="D640">
            <v>45161</v>
          </cell>
          <cell r="E640" t="str">
            <v>AV : SENADOR SARAIVA , 536</v>
          </cell>
          <cell r="F640" t="str">
            <v>CENTRO - SARAIVA</v>
          </cell>
          <cell r="G640" t="str">
            <v>CAMPINAS</v>
          </cell>
          <cell r="H640" t="str">
            <v>SP INT CPN</v>
          </cell>
          <cell r="I640" t="str">
            <v>P</v>
          </cell>
          <cell r="J640">
            <v>3</v>
          </cell>
          <cell r="K640" t="str">
            <v>DIURNO</v>
          </cell>
          <cell r="L640" t="str">
            <v>LETÍCIA/EVA</v>
          </cell>
          <cell r="M640" t="str">
            <v>NÃO</v>
          </cell>
          <cell r="N640" t="str">
            <v>NÃO</v>
          </cell>
        </row>
        <row r="641">
          <cell r="A641" t="str">
            <v>OXX1094789</v>
          </cell>
          <cell r="B641" t="str">
            <v>OXX</v>
          </cell>
          <cell r="C641">
            <v>1094789</v>
          </cell>
          <cell r="D641">
            <v>45161</v>
          </cell>
          <cell r="E641" t="str">
            <v>RUA BARONESA DO JAPI , 301</v>
          </cell>
          <cell r="F641" t="str">
            <v>CENTRO - VERÃO</v>
          </cell>
          <cell r="G641" t="str">
            <v>JUNDIAÍ</v>
          </cell>
          <cell r="H641" t="str">
            <v>SP INT CPN</v>
          </cell>
          <cell r="I641" t="str">
            <v>P</v>
          </cell>
          <cell r="J641">
            <v>3</v>
          </cell>
          <cell r="K641" t="str">
            <v>DIURNO</v>
          </cell>
          <cell r="L641" t="str">
            <v>LEONARDO</v>
          </cell>
          <cell r="M641" t="str">
            <v>UBER</v>
          </cell>
          <cell r="N641">
            <v>0.29166666666666669</v>
          </cell>
        </row>
        <row r="642">
          <cell r="A642" t="str">
            <v>SVG53</v>
          </cell>
          <cell r="B642" t="str">
            <v>SVG</v>
          </cell>
          <cell r="C642">
            <v>53</v>
          </cell>
          <cell r="D642">
            <v>45161</v>
          </cell>
          <cell r="E642" t="str">
            <v>AV : OROZIMBO MAIA , 1309</v>
          </cell>
          <cell r="F642" t="str">
            <v>VILA ITAPURA</v>
          </cell>
          <cell r="G642" t="str">
            <v>CAMPINAS</v>
          </cell>
          <cell r="H642" t="str">
            <v>SP INT LIMEIRA</v>
          </cell>
          <cell r="I642" t="str">
            <v>P</v>
          </cell>
          <cell r="J642">
            <v>29</v>
          </cell>
          <cell r="K642" t="str">
            <v>APOIO SUL</v>
          </cell>
          <cell r="L642" t="str">
            <v>GUSTAVO</v>
          </cell>
          <cell r="M642" t="str">
            <v>02 VANS</v>
          </cell>
          <cell r="N642">
            <v>0.6875</v>
          </cell>
        </row>
        <row r="643">
          <cell r="A643" t="str">
            <v>CFO398</v>
          </cell>
          <cell r="B643" t="str">
            <v>CFO</v>
          </cell>
          <cell r="C643">
            <v>398</v>
          </cell>
          <cell r="D643">
            <v>45161</v>
          </cell>
          <cell r="E643" t="str">
            <v>AV : PAULO FACCINI , 240</v>
          </cell>
          <cell r="F643" t="str">
            <v>MACEDO - DUTRA</v>
          </cell>
          <cell r="G643" t="str">
            <v>GUARULHOS</v>
          </cell>
          <cell r="H643" t="str">
            <v>SP INT SJC</v>
          </cell>
          <cell r="I643" t="str">
            <v>PA</v>
          </cell>
          <cell r="J643">
            <v>26</v>
          </cell>
          <cell r="K643">
            <v>0</v>
          </cell>
          <cell r="L643" t="str">
            <v>JAÍNE/FELIPE/BRUNA</v>
          </cell>
          <cell r="M643" t="str">
            <v>02 VANS</v>
          </cell>
          <cell r="N643">
            <v>0.70833333333333337</v>
          </cell>
        </row>
        <row r="644">
          <cell r="A644" t="str">
            <v>APC158</v>
          </cell>
          <cell r="B644" t="str">
            <v>APC</v>
          </cell>
          <cell r="C644">
            <v>158</v>
          </cell>
          <cell r="D644">
            <v>45161</v>
          </cell>
          <cell r="E644" t="str">
            <v>RUA CAPITÃO JOSÉ GALLO , 620</v>
          </cell>
          <cell r="F644" t="str">
            <v>CENTRO</v>
          </cell>
          <cell r="G644" t="str">
            <v>RIBEIRÃO PIRES</v>
          </cell>
          <cell r="H644" t="str">
            <v>SP LESTE</v>
          </cell>
          <cell r="I644" t="str">
            <v>F</v>
          </cell>
          <cell r="J644">
            <v>3</v>
          </cell>
          <cell r="K644">
            <v>0</v>
          </cell>
          <cell r="L644" t="str">
            <v>CHRIS</v>
          </cell>
          <cell r="M644">
            <v>0</v>
          </cell>
          <cell r="N644">
            <v>0</v>
          </cell>
        </row>
        <row r="645">
          <cell r="A645" t="str">
            <v>CFO115</v>
          </cell>
          <cell r="B645" t="str">
            <v>CFO</v>
          </cell>
          <cell r="C645">
            <v>115</v>
          </cell>
          <cell r="D645">
            <v>45161</v>
          </cell>
          <cell r="E645" t="str">
            <v>AV : RIO DAS PEDRAS , 555</v>
          </cell>
          <cell r="F645" t="str">
            <v>ARICANDUVA</v>
          </cell>
          <cell r="G645" t="str">
            <v>SÃO PAULO</v>
          </cell>
          <cell r="H645" t="str">
            <v>SP LESTE</v>
          </cell>
          <cell r="I645" t="str">
            <v>PA</v>
          </cell>
          <cell r="J645">
            <v>40</v>
          </cell>
          <cell r="K645">
            <v>0</v>
          </cell>
          <cell r="L645" t="str">
            <v>LUANA/LUÍS/ANTÔNIO</v>
          </cell>
          <cell r="M645" t="str">
            <v>NÃO</v>
          </cell>
          <cell r="N645" t="str">
            <v>NÃO</v>
          </cell>
        </row>
        <row r="646">
          <cell r="A646" t="str">
            <v>DAT937</v>
          </cell>
          <cell r="B646" t="str">
            <v>DAT</v>
          </cell>
          <cell r="C646">
            <v>937</v>
          </cell>
          <cell r="D646">
            <v>45161</v>
          </cell>
          <cell r="E646" t="str">
            <v>AV : PRES.TANCREDO DE ALMEIDA NEVES , 1000</v>
          </cell>
          <cell r="F646" t="str">
            <v>JD. ANCHIETA - ATACADÃO</v>
          </cell>
          <cell r="G646" t="str">
            <v>FERRAZ DE VASCONCELOS</v>
          </cell>
          <cell r="H646" t="str">
            <v>SP LESTE</v>
          </cell>
          <cell r="I646" t="str">
            <v>T</v>
          </cell>
          <cell r="J646">
            <v>6</v>
          </cell>
          <cell r="K646">
            <v>0</v>
          </cell>
          <cell r="L646" t="str">
            <v>JÉSSICA</v>
          </cell>
          <cell r="M646" t="str">
            <v>UBER</v>
          </cell>
          <cell r="N646">
            <v>0.6875</v>
          </cell>
        </row>
        <row r="647">
          <cell r="A647" t="str">
            <v>DSP223</v>
          </cell>
          <cell r="B647" t="str">
            <v>DSP</v>
          </cell>
          <cell r="C647">
            <v>223</v>
          </cell>
          <cell r="D647">
            <v>45161</v>
          </cell>
          <cell r="E647" t="str">
            <v>RUA CLODOMIRO AMAZONAS , 1249</v>
          </cell>
          <cell r="F647" t="str">
            <v>VILA NOVA CONCEIÇÃO - 24h</v>
          </cell>
          <cell r="G647" t="str">
            <v>SÃO PAULO</v>
          </cell>
          <cell r="H647" t="str">
            <v>SP LESTE</v>
          </cell>
          <cell r="I647" t="str">
            <v>T</v>
          </cell>
          <cell r="J647">
            <v>13</v>
          </cell>
          <cell r="K647">
            <v>0</v>
          </cell>
          <cell r="L647" t="str">
            <v>MARCELO</v>
          </cell>
          <cell r="M647" t="str">
            <v>NÃO</v>
          </cell>
          <cell r="N647" t="str">
            <v>NÃO</v>
          </cell>
        </row>
        <row r="648">
          <cell r="A648" t="str">
            <v>PMO55</v>
          </cell>
          <cell r="B648" t="str">
            <v>PMO</v>
          </cell>
          <cell r="C648">
            <v>55</v>
          </cell>
          <cell r="D648">
            <v>45161</v>
          </cell>
          <cell r="E648" t="str">
            <v>RUA ZILDA , 456</v>
          </cell>
          <cell r="F648" t="str">
            <v>CASA VERDE ALTA</v>
          </cell>
          <cell r="G648" t="str">
            <v>SÃO PAULO</v>
          </cell>
          <cell r="H648" t="str">
            <v>SP LESTE</v>
          </cell>
          <cell r="I648" t="str">
            <v>T</v>
          </cell>
          <cell r="J648">
            <v>5</v>
          </cell>
          <cell r="K648">
            <v>0</v>
          </cell>
          <cell r="L648" t="str">
            <v>TAMIRES</v>
          </cell>
          <cell r="M648" t="str">
            <v>NÃO</v>
          </cell>
          <cell r="N648" t="str">
            <v>NÃO</v>
          </cell>
        </row>
        <row r="649">
          <cell r="A649" t="str">
            <v>RODR009</v>
          </cell>
          <cell r="B649" t="str">
            <v>ROD</v>
          </cell>
          <cell r="C649" t="str">
            <v>R009</v>
          </cell>
          <cell r="D649">
            <v>45161</v>
          </cell>
          <cell r="E649" t="str">
            <v>AV : SALGADO FILHO , 1800</v>
          </cell>
          <cell r="F649" t="str">
            <v>CENTRO</v>
          </cell>
          <cell r="G649" t="str">
            <v>GUARULHOS</v>
          </cell>
          <cell r="H649" t="str">
            <v>SP LESTE</v>
          </cell>
          <cell r="I649" t="str">
            <v>PP</v>
          </cell>
          <cell r="J649">
            <v>12</v>
          </cell>
          <cell r="K649">
            <v>0</v>
          </cell>
          <cell r="L649" t="str">
            <v>ELISABETE</v>
          </cell>
          <cell r="M649" t="str">
            <v>01 VAN</v>
          </cell>
          <cell r="N649">
            <v>0.70833333333333337</v>
          </cell>
        </row>
        <row r="650">
          <cell r="A650" t="str">
            <v>STMS114</v>
          </cell>
          <cell r="B650" t="str">
            <v>STM</v>
          </cell>
          <cell r="C650" t="str">
            <v>S114</v>
          </cell>
          <cell r="D650">
            <v>45161</v>
          </cell>
          <cell r="E650" t="str">
            <v>RUA CAPITÃO PACHECO E CHAVES , 313</v>
          </cell>
          <cell r="F650" t="str">
            <v>MOOCA PLAZA SHOPPING</v>
          </cell>
          <cell r="G650" t="str">
            <v>SÃO PAULO</v>
          </cell>
          <cell r="H650" t="str">
            <v>SP LESTE</v>
          </cell>
          <cell r="I650" t="str">
            <v>T</v>
          </cell>
          <cell r="J650">
            <v>35</v>
          </cell>
          <cell r="K650">
            <v>0</v>
          </cell>
          <cell r="L650" t="str">
            <v>PATRÍCIA/CARINA</v>
          </cell>
          <cell r="M650" t="str">
            <v>NÃO</v>
          </cell>
          <cell r="N650" t="str">
            <v>NÃO</v>
          </cell>
        </row>
        <row r="651">
          <cell r="A651" t="str">
            <v>OXX1093902</v>
          </cell>
          <cell r="B651" t="str">
            <v>OXX</v>
          </cell>
          <cell r="C651">
            <v>1093902</v>
          </cell>
          <cell r="D651">
            <v>45161</v>
          </cell>
          <cell r="E651" t="str">
            <v>RUA MIN. FERREIRA ALVES , 951</v>
          </cell>
          <cell r="F651" t="str">
            <v>PERDIZES - MIN. AZEVEDO</v>
          </cell>
          <cell r="G651" t="str">
            <v>SÃO PAULO</v>
          </cell>
          <cell r="H651" t="str">
            <v>SP LESTE X</v>
          </cell>
          <cell r="I651" t="str">
            <v>P</v>
          </cell>
          <cell r="J651">
            <v>3</v>
          </cell>
          <cell r="K651" t="str">
            <v>DIURNO</v>
          </cell>
          <cell r="L651" t="str">
            <v>GAMA</v>
          </cell>
          <cell r="M651" t="str">
            <v>NÃO</v>
          </cell>
          <cell r="N651" t="str">
            <v>NÃO</v>
          </cell>
        </row>
        <row r="652">
          <cell r="A652" t="str">
            <v>OXX1096883</v>
          </cell>
          <cell r="B652" t="str">
            <v>OXX</v>
          </cell>
          <cell r="C652">
            <v>1096883</v>
          </cell>
          <cell r="D652">
            <v>45161</v>
          </cell>
          <cell r="E652" t="str">
            <v>RUA VOLUNTÁRIOS DA PÁTRIA , 2940</v>
          </cell>
          <cell r="F652" t="str">
            <v>SANTANA - NOVA VOLUNTÁRIOS</v>
          </cell>
          <cell r="G652" t="str">
            <v>SÃO PAULO</v>
          </cell>
          <cell r="H652" t="str">
            <v>SP LESTE X</v>
          </cell>
          <cell r="I652" t="str">
            <v>P</v>
          </cell>
          <cell r="J652">
            <v>3</v>
          </cell>
          <cell r="K652" t="str">
            <v>DIURNO</v>
          </cell>
          <cell r="L652" t="str">
            <v>CÁSSIA/ARTHUR</v>
          </cell>
          <cell r="M652" t="str">
            <v>NÃO</v>
          </cell>
          <cell r="N652" t="str">
            <v>NÃO</v>
          </cell>
        </row>
        <row r="653">
          <cell r="A653" t="str">
            <v>OXX1098047</v>
          </cell>
          <cell r="B653" t="str">
            <v>OXX</v>
          </cell>
          <cell r="C653">
            <v>1098047</v>
          </cell>
          <cell r="D653">
            <v>45161</v>
          </cell>
          <cell r="E653" t="str">
            <v>RUA CONS. MOREIRA DE BARROS , 1473</v>
          </cell>
          <cell r="F653" t="str">
            <v>LAUZANE PAULISTA</v>
          </cell>
          <cell r="G653" t="str">
            <v>SÃO PAULO</v>
          </cell>
          <cell r="H653" t="str">
            <v>SP LESTE X</v>
          </cell>
          <cell r="I653" t="str">
            <v>P</v>
          </cell>
          <cell r="J653">
            <v>3</v>
          </cell>
          <cell r="K653" t="str">
            <v>DIURNO</v>
          </cell>
          <cell r="L653" t="str">
            <v>LARISSA</v>
          </cell>
          <cell r="M653" t="str">
            <v>NÃO</v>
          </cell>
          <cell r="N653" t="str">
            <v>NÃO</v>
          </cell>
        </row>
        <row r="654">
          <cell r="A654" t="str">
            <v>OXX1098811</v>
          </cell>
          <cell r="B654" t="str">
            <v>OXX</v>
          </cell>
          <cell r="C654">
            <v>1098811</v>
          </cell>
          <cell r="D654">
            <v>45161</v>
          </cell>
          <cell r="E654" t="str">
            <v>RUA SERRA DE JAPI , 180</v>
          </cell>
          <cell r="F654" t="str">
            <v>TATUAPÉ - HUSBAND</v>
          </cell>
          <cell r="G654" t="str">
            <v>SÃO PAULO</v>
          </cell>
          <cell r="H654" t="str">
            <v>SP LESTE X</v>
          </cell>
          <cell r="I654" t="str">
            <v>P</v>
          </cell>
          <cell r="J654">
            <v>3</v>
          </cell>
          <cell r="K654" t="str">
            <v>DIURNO</v>
          </cell>
          <cell r="L654" t="str">
            <v>JOSÉ WELVYS</v>
          </cell>
          <cell r="M654" t="str">
            <v>NÃO</v>
          </cell>
          <cell r="N654" t="str">
            <v>NÃO</v>
          </cell>
        </row>
        <row r="655">
          <cell r="A655" t="str">
            <v>OXX1100339</v>
          </cell>
          <cell r="B655" t="str">
            <v>OXX</v>
          </cell>
          <cell r="C655">
            <v>1100339</v>
          </cell>
          <cell r="D655">
            <v>45161</v>
          </cell>
          <cell r="E655" t="str">
            <v>RUA LAURA , 191</v>
          </cell>
          <cell r="F655" t="str">
            <v>CENTRO - LAURINDA</v>
          </cell>
          <cell r="G655" t="str">
            <v>SANTO ANDRÉ</v>
          </cell>
          <cell r="H655" t="str">
            <v>SP LESTE X</v>
          </cell>
          <cell r="I655" t="str">
            <v>P</v>
          </cell>
          <cell r="J655">
            <v>3</v>
          </cell>
          <cell r="K655" t="str">
            <v>DIURNO</v>
          </cell>
          <cell r="L655" t="str">
            <v>ANDERSON</v>
          </cell>
          <cell r="M655" t="str">
            <v>UBER</v>
          </cell>
          <cell r="N655">
            <v>0.3125</v>
          </cell>
        </row>
        <row r="656">
          <cell r="A656" t="str">
            <v>BOI1</v>
          </cell>
          <cell r="B656" t="str">
            <v>BOI</v>
          </cell>
          <cell r="C656">
            <v>1</v>
          </cell>
          <cell r="D656">
            <v>45161</v>
          </cell>
          <cell r="E656" t="str">
            <v>RUA JEQUIRITUBA , 2350</v>
          </cell>
          <cell r="F656" t="str">
            <v>JD. CASTRO ALVES</v>
          </cell>
          <cell r="G656" t="str">
            <v>SÃO PAULO</v>
          </cell>
          <cell r="H656" t="str">
            <v>SP SUL</v>
          </cell>
          <cell r="I656" t="str">
            <v>T</v>
          </cell>
          <cell r="J656">
            <v>25</v>
          </cell>
          <cell r="K656">
            <v>0</v>
          </cell>
          <cell r="L656" t="str">
            <v>RUAN</v>
          </cell>
          <cell r="M656" t="str">
            <v>NÃO</v>
          </cell>
          <cell r="N656" t="str">
            <v>NÃO</v>
          </cell>
        </row>
        <row r="657">
          <cell r="A657" t="str">
            <v>CDG702</v>
          </cell>
          <cell r="B657" t="str">
            <v>CDG</v>
          </cell>
          <cell r="C657">
            <v>702</v>
          </cell>
          <cell r="D657">
            <v>45161</v>
          </cell>
          <cell r="E657" t="str">
            <v>RUA ALEXANDRE MARTINS , 80</v>
          </cell>
          <cell r="F657" t="str">
            <v>PRAIAMAR SHOPPING</v>
          </cell>
          <cell r="G657" t="str">
            <v>SANTOS</v>
          </cell>
          <cell r="H657" t="str">
            <v>SP SUL</v>
          </cell>
          <cell r="I657" t="str">
            <v>T</v>
          </cell>
          <cell r="J657">
            <v>7</v>
          </cell>
          <cell r="K657">
            <v>0</v>
          </cell>
          <cell r="L657" t="str">
            <v>ELAINE</v>
          </cell>
          <cell r="M657" t="str">
            <v>03 VANS</v>
          </cell>
          <cell r="N657">
            <v>0.66666666666666663</v>
          </cell>
        </row>
        <row r="658">
          <cell r="A658" t="str">
            <v>CFO394</v>
          </cell>
          <cell r="B658" t="str">
            <v>CFO</v>
          </cell>
          <cell r="C658">
            <v>394</v>
          </cell>
          <cell r="D658">
            <v>45161</v>
          </cell>
          <cell r="E658" t="str">
            <v>RUA ALEXANDRE MARTINS , 80</v>
          </cell>
          <cell r="F658" t="str">
            <v>PRAIAMAR SHOPPING</v>
          </cell>
          <cell r="G658" t="str">
            <v>SANTOS</v>
          </cell>
          <cell r="H658" t="str">
            <v>SP SUL</v>
          </cell>
          <cell r="I658" t="str">
            <v>PA</v>
          </cell>
          <cell r="J658">
            <v>30</v>
          </cell>
          <cell r="K658">
            <v>0</v>
          </cell>
          <cell r="L658" t="str">
            <v>CAMILA/CARLOS</v>
          </cell>
          <cell r="M658">
            <v>0</v>
          </cell>
          <cell r="N658">
            <v>0.66666666666666663</v>
          </cell>
        </row>
        <row r="659">
          <cell r="A659" t="str">
            <v>CFX551</v>
          </cell>
          <cell r="B659" t="str">
            <v>CFX</v>
          </cell>
          <cell r="C659">
            <v>551</v>
          </cell>
          <cell r="D659">
            <v>45161</v>
          </cell>
          <cell r="E659" t="str">
            <v>RUA RAMOS BATISTA , 364</v>
          </cell>
          <cell r="F659" t="str">
            <v>VILA OLÍMPIA</v>
          </cell>
          <cell r="G659" t="str">
            <v>SÃO PAULO</v>
          </cell>
          <cell r="H659" t="str">
            <v>SP SUL</v>
          </cell>
          <cell r="I659" t="str">
            <v>T</v>
          </cell>
          <cell r="J659">
            <v>5</v>
          </cell>
          <cell r="K659">
            <v>0</v>
          </cell>
          <cell r="L659" t="str">
            <v>FERNANDO</v>
          </cell>
          <cell r="M659" t="str">
            <v>NÃO</v>
          </cell>
          <cell r="N659" t="str">
            <v>NÃO</v>
          </cell>
        </row>
        <row r="660">
          <cell r="A660" t="str">
            <v>HNTN010</v>
          </cell>
          <cell r="B660" t="str">
            <v>HNT</v>
          </cell>
          <cell r="C660" t="str">
            <v>N010</v>
          </cell>
          <cell r="D660">
            <v>45161</v>
          </cell>
          <cell r="E660" t="str">
            <v>AV : ENG. ALBERTO DE ZAGOTTIS , 1018</v>
          </cell>
          <cell r="F660" t="str">
            <v xml:space="preserve">INTERLAGOS </v>
          </cell>
          <cell r="G660" t="str">
            <v>SÃO PAULO</v>
          </cell>
          <cell r="H660" t="str">
            <v>SP SUL</v>
          </cell>
          <cell r="I660" t="str">
            <v>T</v>
          </cell>
          <cell r="J660">
            <v>17</v>
          </cell>
          <cell r="K660">
            <v>0</v>
          </cell>
          <cell r="L660" t="str">
            <v>JUSCELINO</v>
          </cell>
          <cell r="M660" t="str">
            <v>NÃO</v>
          </cell>
          <cell r="N660" t="str">
            <v>NÃO</v>
          </cell>
        </row>
        <row r="661">
          <cell r="A661" t="str">
            <v>SVG53</v>
          </cell>
          <cell r="B661" t="str">
            <v>SVG</v>
          </cell>
          <cell r="C661">
            <v>53</v>
          </cell>
          <cell r="D661">
            <v>45161</v>
          </cell>
          <cell r="E661" t="str">
            <v>AV : OROZIMBO MAIA , 1309</v>
          </cell>
          <cell r="F661" t="str">
            <v>VILA ITAPURA</v>
          </cell>
          <cell r="G661" t="str">
            <v>CAMPINAS</v>
          </cell>
          <cell r="H661" t="str">
            <v>SP SUL</v>
          </cell>
          <cell r="I661" t="str">
            <v>APOIO</v>
          </cell>
          <cell r="J661">
            <v>18</v>
          </cell>
          <cell r="K661">
            <v>0</v>
          </cell>
          <cell r="L661" t="str">
            <v>VIANA/YGOR/GLEDSON</v>
          </cell>
          <cell r="M661" t="str">
            <v>01 VAN de 18</v>
          </cell>
          <cell r="N661">
            <v>0.625</v>
          </cell>
        </row>
        <row r="662">
          <cell r="A662" t="str">
            <v>OXX1092243</v>
          </cell>
          <cell r="B662" t="str">
            <v>OXX</v>
          </cell>
          <cell r="C662">
            <v>1092243</v>
          </cell>
          <cell r="D662">
            <v>45161</v>
          </cell>
          <cell r="E662" t="str">
            <v>AV : ENG. LUIZ CARLOS BERRINI , 1430</v>
          </cell>
          <cell r="F662" t="str">
            <v>CIDADE MONÇÕES - ENGENHEIRO</v>
          </cell>
          <cell r="G662" t="str">
            <v>SÃO PAULO</v>
          </cell>
          <cell r="H662" t="str">
            <v>SP SUL X</v>
          </cell>
          <cell r="I662" t="str">
            <v>P</v>
          </cell>
          <cell r="J662">
            <v>3</v>
          </cell>
          <cell r="K662" t="str">
            <v>DIURNO</v>
          </cell>
          <cell r="L662" t="str">
            <v>CLAUDIA</v>
          </cell>
          <cell r="M662" t="str">
            <v>NÃO</v>
          </cell>
          <cell r="N662" t="str">
            <v>NÃO</v>
          </cell>
        </row>
        <row r="663">
          <cell r="A663" t="str">
            <v>OXX1094485</v>
          </cell>
          <cell r="B663" t="str">
            <v>OXX</v>
          </cell>
          <cell r="C663">
            <v>1094485</v>
          </cell>
          <cell r="D663">
            <v>45161</v>
          </cell>
          <cell r="E663" t="str">
            <v>RUA DO ESTILO BARROCO , 346</v>
          </cell>
          <cell r="F663" t="str">
            <v>CHÁCARA SANTO ANTÔNIO</v>
          </cell>
          <cell r="G663" t="str">
            <v>SÃO PAULO</v>
          </cell>
          <cell r="H663" t="str">
            <v>SP SUL X</v>
          </cell>
          <cell r="I663" t="str">
            <v>P</v>
          </cell>
          <cell r="J663">
            <v>3</v>
          </cell>
          <cell r="K663" t="str">
            <v>DIURNO</v>
          </cell>
          <cell r="L663" t="str">
            <v>ANDRÉ</v>
          </cell>
          <cell r="M663" t="str">
            <v>NÃO</v>
          </cell>
          <cell r="N663" t="str">
            <v>NÃO</v>
          </cell>
        </row>
        <row r="664">
          <cell r="A664" t="str">
            <v>OXX1099185</v>
          </cell>
          <cell r="B664" t="str">
            <v>OXX</v>
          </cell>
          <cell r="C664">
            <v>1099185</v>
          </cell>
          <cell r="D664">
            <v>45161</v>
          </cell>
          <cell r="E664" t="str">
            <v>RUA ERNESTA PELOSINI , 155</v>
          </cell>
          <cell r="F664" t="str">
            <v>NOVA PETRÓPOLIS - PELOSINI</v>
          </cell>
          <cell r="G664" t="str">
            <v>SÃO BERNARDO DO CAMPO</v>
          </cell>
          <cell r="H664" t="str">
            <v>SP SUL X</v>
          </cell>
          <cell r="I664" t="str">
            <v>P</v>
          </cell>
          <cell r="J664">
            <v>3</v>
          </cell>
          <cell r="K664" t="str">
            <v>DIURNO</v>
          </cell>
          <cell r="L664" t="str">
            <v>NATHALIA</v>
          </cell>
          <cell r="M664" t="str">
            <v>UBER</v>
          </cell>
          <cell r="N664">
            <v>0.3125</v>
          </cell>
        </row>
        <row r="665">
          <cell r="A665" t="str">
            <v>OXX1100737</v>
          </cell>
          <cell r="B665" t="str">
            <v>OXX</v>
          </cell>
          <cell r="C665">
            <v>1100737</v>
          </cell>
          <cell r="D665">
            <v>45161</v>
          </cell>
          <cell r="E665" t="str">
            <v>RUA TONELERO , 1091</v>
          </cell>
          <cell r="F665" t="str">
            <v>LAPA - TEGON</v>
          </cell>
          <cell r="G665" t="str">
            <v>SÃO PAULO</v>
          </cell>
          <cell r="H665" t="str">
            <v>SP SUL X</v>
          </cell>
          <cell r="I665" t="str">
            <v>P</v>
          </cell>
          <cell r="J665">
            <v>3</v>
          </cell>
          <cell r="K665" t="str">
            <v>DIURNO</v>
          </cell>
          <cell r="L665" t="str">
            <v>JÉSSICA</v>
          </cell>
          <cell r="M665" t="str">
            <v>NÃO</v>
          </cell>
          <cell r="N665" t="str">
            <v>NÃO</v>
          </cell>
        </row>
        <row r="666">
          <cell r="A666" t="str">
            <v>OXX1102752</v>
          </cell>
          <cell r="B666" t="str">
            <v>OXX</v>
          </cell>
          <cell r="C666">
            <v>1102752</v>
          </cell>
          <cell r="D666">
            <v>45161</v>
          </cell>
          <cell r="E666" t="str">
            <v>AV : NOSSA SENHORA DO SABARÁ , 1781</v>
          </cell>
          <cell r="F666" t="str">
            <v>CAMPO GRANDE - SINES</v>
          </cell>
          <cell r="G666" t="str">
            <v>SÃO PAULO</v>
          </cell>
          <cell r="H666" t="str">
            <v>SP SUL X</v>
          </cell>
          <cell r="I666" t="str">
            <v>P</v>
          </cell>
          <cell r="J666">
            <v>3</v>
          </cell>
          <cell r="K666" t="str">
            <v>DIURNO</v>
          </cell>
          <cell r="L666" t="str">
            <v>FLAVIA</v>
          </cell>
          <cell r="M666" t="str">
            <v>NÃO</v>
          </cell>
          <cell r="N666" t="str">
            <v>NÃO</v>
          </cell>
        </row>
        <row r="667">
          <cell r="A667" t="str">
            <v/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 t="str">
            <v>Total</v>
          </cell>
          <cell r="J667">
            <v>398</v>
          </cell>
          <cell r="K667">
            <v>192</v>
          </cell>
          <cell r="L667">
            <v>0</v>
          </cell>
          <cell r="M667">
            <v>0</v>
          </cell>
          <cell r="N667">
            <v>0</v>
          </cell>
        </row>
        <row r="668">
          <cell r="A668" t="str">
            <v/>
          </cell>
          <cell r="B668">
            <v>0</v>
          </cell>
          <cell r="C668">
            <v>0</v>
          </cell>
          <cell r="D668">
            <v>0</v>
          </cell>
          <cell r="E668">
            <v>45162</v>
          </cell>
          <cell r="F668" t="str">
            <v>QUINTA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A669" t="str">
            <v>CDG908</v>
          </cell>
          <cell r="B669" t="str">
            <v>CDG</v>
          </cell>
          <cell r="C669">
            <v>908</v>
          </cell>
          <cell r="D669">
            <v>45162</v>
          </cell>
          <cell r="E669" t="str">
            <v>AV : PLÍNIO BRASIL MILANO , 2343</v>
          </cell>
          <cell r="F669" t="str">
            <v>PASSO D'AREIA</v>
          </cell>
          <cell r="G669" t="str">
            <v>PORTO ALEGRE</v>
          </cell>
          <cell r="H669" t="str">
            <v>PORTO ALEGRE</v>
          </cell>
          <cell r="I669" t="str">
            <v>T</v>
          </cell>
          <cell r="J669">
            <v>8</v>
          </cell>
          <cell r="K669">
            <v>0</v>
          </cell>
          <cell r="L669" t="str">
            <v>HEVERTON</v>
          </cell>
          <cell r="M669" t="str">
            <v>NÃO</v>
          </cell>
          <cell r="N669" t="str">
            <v>NÃO</v>
          </cell>
        </row>
        <row r="670">
          <cell r="A670" t="str">
            <v>CFO179</v>
          </cell>
          <cell r="B670" t="str">
            <v>CFO</v>
          </cell>
          <cell r="C670">
            <v>179</v>
          </cell>
          <cell r="D670">
            <v>45162</v>
          </cell>
          <cell r="E670" t="str">
            <v>AV : PLÍNIO BRASIL MILANO , 2343</v>
          </cell>
          <cell r="F670" t="str">
            <v>PASSO D'AREIA</v>
          </cell>
          <cell r="G670" t="str">
            <v>PORTO ALEGRE</v>
          </cell>
          <cell r="H670" t="str">
            <v>PORTO ALEGRE</v>
          </cell>
          <cell r="I670" t="str">
            <v>PA</v>
          </cell>
          <cell r="J670">
            <v>38</v>
          </cell>
          <cell r="K670">
            <v>0</v>
          </cell>
          <cell r="L670" t="str">
            <v>PAVAN</v>
          </cell>
          <cell r="M670" t="str">
            <v>NÃO</v>
          </cell>
          <cell r="N670" t="str">
            <v>NÃO</v>
          </cell>
        </row>
        <row r="671">
          <cell r="A671" t="str">
            <v>PEN860</v>
          </cell>
          <cell r="B671" t="str">
            <v>PEN</v>
          </cell>
          <cell r="C671">
            <v>860</v>
          </cell>
          <cell r="D671">
            <v>45162</v>
          </cell>
          <cell r="E671" t="str">
            <v>AV : SOUZA NAVES , 549</v>
          </cell>
          <cell r="F671" t="str">
            <v>CENTRO</v>
          </cell>
          <cell r="G671" t="str">
            <v>CIANORTE</v>
          </cell>
          <cell r="H671" t="str">
            <v>PR LONDRINA</v>
          </cell>
          <cell r="I671" t="str">
            <v>T</v>
          </cell>
          <cell r="J671">
            <v>8</v>
          </cell>
          <cell r="K671">
            <v>0</v>
          </cell>
          <cell r="L671" t="str">
            <v>ALINE</v>
          </cell>
          <cell r="M671" t="str">
            <v>01 VAN</v>
          </cell>
          <cell r="N671">
            <v>0.64583333333333337</v>
          </cell>
        </row>
        <row r="672">
          <cell r="A672" t="str">
            <v>EXS5290</v>
          </cell>
          <cell r="B672" t="str">
            <v>EXS</v>
          </cell>
          <cell r="C672">
            <v>5290</v>
          </cell>
          <cell r="D672">
            <v>45162</v>
          </cell>
          <cell r="E672" t="str">
            <v>RUA SIQUEIRA CAMPOS , 143 - LOJAS 48 / 40</v>
          </cell>
          <cell r="F672" t="str">
            <v>COPACABANA</v>
          </cell>
          <cell r="G672" t="str">
            <v>RIO DE JANEIRO</v>
          </cell>
          <cell r="H672" t="str">
            <v>RJ</v>
          </cell>
          <cell r="I672" t="str">
            <v>T</v>
          </cell>
          <cell r="J672">
            <v>28</v>
          </cell>
          <cell r="K672">
            <v>0</v>
          </cell>
          <cell r="L672" t="str">
            <v>RAFAEL/MICHELE</v>
          </cell>
          <cell r="M672" t="str">
            <v>NÃO</v>
          </cell>
          <cell r="N672" t="str">
            <v>NÃO</v>
          </cell>
        </row>
        <row r="673">
          <cell r="A673" t="str">
            <v>HORF047</v>
          </cell>
          <cell r="B673" t="str">
            <v>HOR</v>
          </cell>
          <cell r="C673" t="str">
            <v>F047</v>
          </cell>
          <cell r="D673">
            <v>45162</v>
          </cell>
          <cell r="E673" t="str">
            <v>RUA VISCONDE DE ITAMARATI , 168</v>
          </cell>
          <cell r="F673" t="str">
            <v>MARACANÃ</v>
          </cell>
          <cell r="G673" t="str">
            <v>RIO DE JANEIRO</v>
          </cell>
          <cell r="H673" t="str">
            <v>RJ</v>
          </cell>
          <cell r="I673" t="str">
            <v>T</v>
          </cell>
          <cell r="J673">
            <v>15</v>
          </cell>
          <cell r="K673">
            <v>0</v>
          </cell>
          <cell r="L673" t="str">
            <v>ANTÔNIO</v>
          </cell>
          <cell r="M673" t="str">
            <v>NÃO</v>
          </cell>
          <cell r="N673" t="str">
            <v>NÃO</v>
          </cell>
        </row>
        <row r="674">
          <cell r="A674" t="str">
            <v>DSP578</v>
          </cell>
          <cell r="B674" t="str">
            <v>DSP</v>
          </cell>
          <cell r="C674">
            <v>578</v>
          </cell>
          <cell r="D674">
            <v>45162</v>
          </cell>
          <cell r="E674" t="str">
            <v>AV : RIO BRANCO , 800</v>
          </cell>
          <cell r="F674" t="str">
            <v>ALTO CAFEZAL</v>
          </cell>
          <cell r="G674" t="str">
            <v>MARÍLIA</v>
          </cell>
          <cell r="H674" t="str">
            <v>SP INT BAURU</v>
          </cell>
          <cell r="I674" t="str">
            <v>T</v>
          </cell>
          <cell r="J674">
            <v>12</v>
          </cell>
          <cell r="K674">
            <v>0</v>
          </cell>
          <cell r="L674" t="str">
            <v>ROSÂNGELA</v>
          </cell>
          <cell r="M674" t="str">
            <v>01 VAN</v>
          </cell>
          <cell r="N674">
            <v>0.75</v>
          </cell>
        </row>
        <row r="675">
          <cell r="A675" t="str">
            <v>OXX1089116</v>
          </cell>
          <cell r="B675" t="str">
            <v>OXX</v>
          </cell>
          <cell r="C675">
            <v>1089116</v>
          </cell>
          <cell r="D675">
            <v>45162</v>
          </cell>
          <cell r="E675" t="str">
            <v>RUA DO RETIRO , 1597</v>
          </cell>
          <cell r="F675" t="str">
            <v>JD. PARIS</v>
          </cell>
          <cell r="G675" t="str">
            <v>JUNDIAÍ</v>
          </cell>
          <cell r="H675" t="str">
            <v>SP INT CPN</v>
          </cell>
          <cell r="I675" t="str">
            <v>P</v>
          </cell>
          <cell r="J675">
            <v>3</v>
          </cell>
          <cell r="K675" t="str">
            <v>DIURNO</v>
          </cell>
          <cell r="L675" t="str">
            <v>LEONARDO</v>
          </cell>
          <cell r="M675" t="str">
            <v>UBER</v>
          </cell>
          <cell r="N675">
            <v>0.29166666666666669</v>
          </cell>
        </row>
        <row r="676">
          <cell r="A676" t="str">
            <v>OXX1092428</v>
          </cell>
          <cell r="B676" t="str">
            <v>OXX</v>
          </cell>
          <cell r="C676">
            <v>1092428</v>
          </cell>
          <cell r="D676">
            <v>45162</v>
          </cell>
          <cell r="E676" t="str">
            <v>RUA JOSÉ PAULINO , 1566</v>
          </cell>
          <cell r="F676" t="str">
            <v>CENTRO - JORGE MIRANDA</v>
          </cell>
          <cell r="G676" t="str">
            <v>CAMPINAS</v>
          </cell>
          <cell r="H676" t="str">
            <v>SP INT CPN</v>
          </cell>
          <cell r="I676" t="str">
            <v>P</v>
          </cell>
          <cell r="J676">
            <v>3</v>
          </cell>
          <cell r="K676" t="str">
            <v>DIURNO</v>
          </cell>
          <cell r="L676" t="str">
            <v>IZABELA/THALIA</v>
          </cell>
          <cell r="M676" t="str">
            <v>NÃO</v>
          </cell>
          <cell r="N676" t="str">
            <v>NÃO</v>
          </cell>
        </row>
        <row r="677">
          <cell r="A677" t="str">
            <v>OXX1095395</v>
          </cell>
          <cell r="B677" t="str">
            <v>OXX</v>
          </cell>
          <cell r="C677">
            <v>1095395</v>
          </cell>
          <cell r="D677">
            <v>45162</v>
          </cell>
          <cell r="E677" t="str">
            <v>RUA MARÍLIA , 174</v>
          </cell>
          <cell r="F677" t="str">
            <v>JD. HORTOLÂNDIA - LIMÃO</v>
          </cell>
          <cell r="G677" t="str">
            <v>JUNDIAÍ</v>
          </cell>
          <cell r="H677" t="str">
            <v>SP INT CPN</v>
          </cell>
          <cell r="I677" t="str">
            <v>P</v>
          </cell>
          <cell r="J677">
            <v>3</v>
          </cell>
          <cell r="K677" t="str">
            <v>DIURNO</v>
          </cell>
          <cell r="L677" t="str">
            <v>LETÍCIA/EVA</v>
          </cell>
          <cell r="M677" t="str">
            <v>UBER</v>
          </cell>
          <cell r="N677">
            <v>0.29166666666666669</v>
          </cell>
        </row>
        <row r="678">
          <cell r="A678" t="str">
            <v>EXS5659</v>
          </cell>
          <cell r="B678" t="str">
            <v>EXS</v>
          </cell>
          <cell r="C678">
            <v>5659</v>
          </cell>
          <cell r="D678">
            <v>45162</v>
          </cell>
          <cell r="E678" t="str">
            <v>RUA PROF. DOMINGOS CAMBIAGHI , 117</v>
          </cell>
          <cell r="F678" t="str">
            <v>CENTRO</v>
          </cell>
          <cell r="G678" t="str">
            <v>LEME</v>
          </cell>
          <cell r="H678" t="str">
            <v>SP INT LIMEIRA</v>
          </cell>
          <cell r="I678" t="str">
            <v>T</v>
          </cell>
          <cell r="J678">
            <v>30</v>
          </cell>
          <cell r="K678" t="str">
            <v>APOIO SUL</v>
          </cell>
          <cell r="L678" t="str">
            <v>GUSTAVO</v>
          </cell>
          <cell r="M678" t="str">
            <v>02 VANS</v>
          </cell>
          <cell r="N678">
            <v>0.70833333333333337</v>
          </cell>
        </row>
        <row r="679">
          <cell r="A679" t="str">
            <v>DSP344</v>
          </cell>
          <cell r="B679" t="str">
            <v>DSP</v>
          </cell>
          <cell r="C679">
            <v>344</v>
          </cell>
          <cell r="D679">
            <v>45162</v>
          </cell>
          <cell r="E679" t="str">
            <v>AV : SALMÃO , 35 - QUADRA 12A - LOTE 01</v>
          </cell>
          <cell r="F679" t="str">
            <v>PQ. RES. AQUARIUS - 24h</v>
          </cell>
          <cell r="G679" t="str">
            <v>SÃO JOSÉ DOS CAMPOS</v>
          </cell>
          <cell r="H679" t="str">
            <v>SP INT SJC</v>
          </cell>
          <cell r="I679" t="str">
            <v>T</v>
          </cell>
          <cell r="J679">
            <v>15</v>
          </cell>
          <cell r="K679">
            <v>0</v>
          </cell>
          <cell r="L679" t="str">
            <v>JAÍNE</v>
          </cell>
          <cell r="M679" t="str">
            <v>01 VAN</v>
          </cell>
          <cell r="N679">
            <v>0.77083333333333337</v>
          </cell>
        </row>
        <row r="680">
          <cell r="A680" t="str">
            <v>PEN685</v>
          </cell>
          <cell r="B680" t="str">
            <v>PEN</v>
          </cell>
          <cell r="C680">
            <v>685</v>
          </cell>
          <cell r="D680">
            <v>45162</v>
          </cell>
          <cell r="E680" t="str">
            <v>AV : JOSÉ HERCULANO , 1086</v>
          </cell>
          <cell r="F680" t="str">
            <v>SHOPPING SERRAMAR</v>
          </cell>
          <cell r="G680" t="str">
            <v>CARAGUATATUBA</v>
          </cell>
          <cell r="H680" t="str">
            <v>SP INT SJC</v>
          </cell>
          <cell r="I680" t="str">
            <v>T</v>
          </cell>
          <cell r="J680">
            <v>15</v>
          </cell>
          <cell r="K680">
            <v>0</v>
          </cell>
          <cell r="L680" t="str">
            <v>FELIPE/BRUNA</v>
          </cell>
          <cell r="M680" t="str">
            <v>01 VAN</v>
          </cell>
          <cell r="N680">
            <v>0.64583333333333337</v>
          </cell>
        </row>
        <row r="681">
          <cell r="A681" t="str">
            <v>APC107</v>
          </cell>
          <cell r="B681" t="str">
            <v>APC</v>
          </cell>
          <cell r="C681">
            <v>107</v>
          </cell>
          <cell r="D681">
            <v>45162</v>
          </cell>
          <cell r="E681" t="str">
            <v>AV : SANTOS DUMONT , 2611</v>
          </cell>
          <cell r="F681" t="str">
            <v>VICENTE DE CARVALHO</v>
          </cell>
          <cell r="G681" t="str">
            <v>GUARUJÁ</v>
          </cell>
          <cell r="H681" t="str">
            <v>SP LESTE</v>
          </cell>
          <cell r="I681" t="str">
            <v>F</v>
          </cell>
          <cell r="J681">
            <v>3</v>
          </cell>
          <cell r="K681">
            <v>0</v>
          </cell>
          <cell r="L681" t="str">
            <v>CHRIS</v>
          </cell>
          <cell r="M681">
            <v>0</v>
          </cell>
          <cell r="N681">
            <v>0</v>
          </cell>
        </row>
        <row r="682">
          <cell r="A682" t="str">
            <v>APC158</v>
          </cell>
          <cell r="B682" t="str">
            <v>APC</v>
          </cell>
          <cell r="C682">
            <v>158</v>
          </cell>
          <cell r="D682">
            <v>45162</v>
          </cell>
          <cell r="E682" t="str">
            <v>RUA CAPITÃO JOSÉ GALLO , 620</v>
          </cell>
          <cell r="F682" t="str">
            <v>CENTRO</v>
          </cell>
          <cell r="G682" t="str">
            <v>RIBEIRÃO PIRES</v>
          </cell>
          <cell r="H682" t="str">
            <v>SP LESTE</v>
          </cell>
          <cell r="I682" t="str">
            <v>T</v>
          </cell>
          <cell r="J682">
            <v>3</v>
          </cell>
          <cell r="K682" t="str">
            <v>DIURNO</v>
          </cell>
          <cell r="L682" t="str">
            <v>CHRIS</v>
          </cell>
          <cell r="M682" t="str">
            <v>UBER</v>
          </cell>
          <cell r="N682">
            <v>0.29166666666666669</v>
          </cell>
        </row>
        <row r="683">
          <cell r="A683" t="str">
            <v>CFM975</v>
          </cell>
          <cell r="B683" t="str">
            <v>CFM</v>
          </cell>
          <cell r="C683">
            <v>975</v>
          </cell>
          <cell r="D683">
            <v>45162</v>
          </cell>
          <cell r="E683" t="str">
            <v xml:space="preserve">RUA ALEGRE , 506 </v>
          </cell>
          <cell r="F683" t="str">
            <v>SANTA PAULA</v>
          </cell>
          <cell r="G683" t="str">
            <v>SÃO CAETANO DO SUL</v>
          </cell>
          <cell r="H683" t="str">
            <v>SP LESTE</v>
          </cell>
          <cell r="I683" t="str">
            <v>T</v>
          </cell>
          <cell r="J683">
            <v>13</v>
          </cell>
          <cell r="K683">
            <v>0</v>
          </cell>
          <cell r="L683" t="str">
            <v>LUÍS</v>
          </cell>
          <cell r="M683" t="str">
            <v>01 VAN</v>
          </cell>
          <cell r="N683">
            <v>0.70833333333333337</v>
          </cell>
        </row>
        <row r="684">
          <cell r="A684" t="str">
            <v>CFO460</v>
          </cell>
          <cell r="B684" t="str">
            <v>CFO</v>
          </cell>
          <cell r="C684">
            <v>460</v>
          </cell>
          <cell r="D684">
            <v>45162</v>
          </cell>
          <cell r="E684" t="str">
            <v>AV : AMADOR BUENO DA VEIGA , 2521</v>
          </cell>
          <cell r="F684" t="str">
            <v>PENHA DE FRANÇA</v>
          </cell>
          <cell r="G684" t="str">
            <v>SÃO PAULO</v>
          </cell>
          <cell r="H684" t="str">
            <v>SP LESTE</v>
          </cell>
          <cell r="I684" t="str">
            <v>PA</v>
          </cell>
          <cell r="J684">
            <v>31</v>
          </cell>
          <cell r="K684">
            <v>0</v>
          </cell>
          <cell r="L684" t="str">
            <v>LUANA/MARCELO</v>
          </cell>
          <cell r="M684" t="str">
            <v>NÃO</v>
          </cell>
          <cell r="N684" t="str">
            <v>NÃO</v>
          </cell>
        </row>
        <row r="685">
          <cell r="A685" t="str">
            <v>CFX590</v>
          </cell>
          <cell r="B685" t="str">
            <v>CFX</v>
          </cell>
          <cell r="C685">
            <v>590</v>
          </cell>
          <cell r="D685">
            <v>45162</v>
          </cell>
          <cell r="E685" t="str">
            <v>RUA TEODORO SAMPAIO , 2484</v>
          </cell>
          <cell r="F685" t="str">
            <v>PINHEIROS</v>
          </cell>
          <cell r="G685" t="str">
            <v>SÃO PAULO</v>
          </cell>
          <cell r="H685" t="str">
            <v>SP LESTE</v>
          </cell>
          <cell r="I685" t="str">
            <v>T</v>
          </cell>
          <cell r="J685">
            <v>8</v>
          </cell>
          <cell r="K685">
            <v>0</v>
          </cell>
          <cell r="L685" t="str">
            <v>CARINA</v>
          </cell>
          <cell r="M685" t="str">
            <v>NÃO</v>
          </cell>
          <cell r="N685" t="str">
            <v>NÃO</v>
          </cell>
        </row>
        <row r="686">
          <cell r="A686" t="str">
            <v>DAT497</v>
          </cell>
          <cell r="B686" t="str">
            <v>DAT</v>
          </cell>
          <cell r="C686">
            <v>497</v>
          </cell>
          <cell r="D686">
            <v>45162</v>
          </cell>
          <cell r="E686" t="str">
            <v>AV : RAIMUNDO PEREIRA DE MAGALHÃES , 11.980</v>
          </cell>
          <cell r="F686" t="str">
            <v>TAIPAS - ATACADÃO</v>
          </cell>
          <cell r="G686" t="str">
            <v>SÃO PAULO</v>
          </cell>
          <cell r="H686" t="str">
            <v>SP LESTE</v>
          </cell>
          <cell r="I686" t="str">
            <v>T</v>
          </cell>
          <cell r="J686">
            <v>11</v>
          </cell>
          <cell r="K686">
            <v>0</v>
          </cell>
          <cell r="L686" t="str">
            <v>JÉSSICA</v>
          </cell>
          <cell r="M686" t="str">
            <v>01 VAN</v>
          </cell>
          <cell r="N686">
            <v>0.6875</v>
          </cell>
        </row>
        <row r="687">
          <cell r="A687" t="str">
            <v>EXS5680</v>
          </cell>
          <cell r="B687" t="str">
            <v>EXS</v>
          </cell>
          <cell r="C687">
            <v>5680</v>
          </cell>
          <cell r="D687">
            <v>45162</v>
          </cell>
          <cell r="E687" t="str">
            <v xml:space="preserve">AV : CONSELHEIRO NÉBIAS , 220 </v>
          </cell>
          <cell r="F687" t="str">
            <v>VILA MATHIAS</v>
          </cell>
          <cell r="G687" t="str">
            <v>SANTOS</v>
          </cell>
          <cell r="H687" t="str">
            <v>SP LESTE</v>
          </cell>
          <cell r="I687" t="str">
            <v>T</v>
          </cell>
          <cell r="J687">
            <v>36</v>
          </cell>
          <cell r="K687">
            <v>0</v>
          </cell>
          <cell r="L687" t="str">
            <v>PATRÍCIA</v>
          </cell>
          <cell r="M687" t="str">
            <v>03 VANS</v>
          </cell>
          <cell r="N687">
            <v>0.66666666666666663</v>
          </cell>
        </row>
        <row r="688">
          <cell r="A688" t="str">
            <v>PMO69</v>
          </cell>
          <cell r="B688" t="str">
            <v>PMO</v>
          </cell>
          <cell r="C688">
            <v>69</v>
          </cell>
          <cell r="D688">
            <v>45162</v>
          </cell>
          <cell r="E688" t="str">
            <v>ESTRADA DAS TAIPAS , 753 / 755</v>
          </cell>
          <cell r="F688" t="str">
            <v>JARAGUÁ - JD. RINCÃO</v>
          </cell>
          <cell r="G688" t="str">
            <v>SÃO PAULO</v>
          </cell>
          <cell r="H688" t="str">
            <v>SP LESTE</v>
          </cell>
          <cell r="I688" t="str">
            <v>T</v>
          </cell>
          <cell r="J688">
            <v>4</v>
          </cell>
          <cell r="K688">
            <v>0</v>
          </cell>
          <cell r="L688" t="str">
            <v>TAMIRES</v>
          </cell>
          <cell r="M688" t="str">
            <v>NÃO</v>
          </cell>
          <cell r="N688" t="str">
            <v>NÃO</v>
          </cell>
        </row>
        <row r="689">
          <cell r="A689" t="str">
            <v>OXX1088935</v>
          </cell>
          <cell r="B689" t="str">
            <v>OXX</v>
          </cell>
          <cell r="C689">
            <v>1088935</v>
          </cell>
          <cell r="D689">
            <v>45162</v>
          </cell>
          <cell r="E689" t="str">
            <v>RUA DA CONSOLAÇÃO , 397</v>
          </cell>
          <cell r="F689" t="str">
            <v>REPÚBLICA - CONSOLAÇÃO</v>
          </cell>
          <cell r="G689" t="str">
            <v>SÃO PAULO</v>
          </cell>
          <cell r="H689" t="str">
            <v>SP LESTE X</v>
          </cell>
          <cell r="I689" t="str">
            <v>P</v>
          </cell>
          <cell r="J689">
            <v>3</v>
          </cell>
          <cell r="K689" t="str">
            <v>DIURNO</v>
          </cell>
          <cell r="L689" t="str">
            <v>GAMA</v>
          </cell>
          <cell r="M689" t="str">
            <v>NÃO</v>
          </cell>
          <cell r="N689" t="str">
            <v>NÃO</v>
          </cell>
        </row>
        <row r="690">
          <cell r="A690" t="str">
            <v>OXX1095384</v>
          </cell>
          <cell r="B690" t="str">
            <v>OXX</v>
          </cell>
          <cell r="C690">
            <v>1095384</v>
          </cell>
          <cell r="D690">
            <v>45162</v>
          </cell>
          <cell r="E690" t="str">
            <v>RUA APENINOS , 390</v>
          </cell>
          <cell r="F690" t="str">
            <v>ACLIMAÇÃO - APEMOTA</v>
          </cell>
          <cell r="G690" t="str">
            <v>SÃO PAULO</v>
          </cell>
          <cell r="H690" t="str">
            <v>SP LESTE X</v>
          </cell>
          <cell r="I690" t="str">
            <v>P</v>
          </cell>
          <cell r="J690">
            <v>3</v>
          </cell>
          <cell r="K690" t="str">
            <v>DIURNO</v>
          </cell>
          <cell r="L690" t="str">
            <v>CÁSSIA/ARTHUR</v>
          </cell>
          <cell r="M690" t="str">
            <v>NÃO</v>
          </cell>
          <cell r="N690" t="str">
            <v>NÃO</v>
          </cell>
        </row>
        <row r="691">
          <cell r="A691" t="str">
            <v>OXX1096598</v>
          </cell>
          <cell r="B691" t="str">
            <v>OXX</v>
          </cell>
          <cell r="C691">
            <v>1096598</v>
          </cell>
          <cell r="D691">
            <v>45162</v>
          </cell>
          <cell r="E691" t="str">
            <v>RUA ARINAIA , 24</v>
          </cell>
          <cell r="F691" t="str">
            <v>BELENZINHO - CASSANDOCA MALL</v>
          </cell>
          <cell r="G691" t="str">
            <v>SÃO PAULO</v>
          </cell>
          <cell r="H691" t="str">
            <v>SP LESTE X</v>
          </cell>
          <cell r="I691" t="str">
            <v>P</v>
          </cell>
          <cell r="J691">
            <v>3</v>
          </cell>
          <cell r="K691" t="str">
            <v>DIURNO</v>
          </cell>
          <cell r="L691" t="str">
            <v>LARISSA</v>
          </cell>
          <cell r="M691" t="str">
            <v>NÃO</v>
          </cell>
          <cell r="N691" t="str">
            <v>NÃO</v>
          </cell>
        </row>
        <row r="692">
          <cell r="A692" t="str">
            <v>OXX1096874</v>
          </cell>
          <cell r="B692" t="str">
            <v>OXX</v>
          </cell>
          <cell r="C692">
            <v>1096874</v>
          </cell>
          <cell r="D692">
            <v>45162</v>
          </cell>
          <cell r="E692" t="str">
            <v>RUA FAUSTOLO , 573</v>
          </cell>
          <cell r="F692" t="str">
            <v>ÁGUA BRANCA</v>
          </cell>
          <cell r="G692" t="str">
            <v>SÃO PAULO</v>
          </cell>
          <cell r="H692" t="str">
            <v>SP LESTE X</v>
          </cell>
          <cell r="I692" t="str">
            <v>P</v>
          </cell>
          <cell r="J692">
            <v>3</v>
          </cell>
          <cell r="K692" t="str">
            <v>DIURNO</v>
          </cell>
          <cell r="L692" t="str">
            <v>JOSÉ WELVYS</v>
          </cell>
          <cell r="M692" t="str">
            <v>NÃO</v>
          </cell>
          <cell r="N692" t="str">
            <v>NÃO</v>
          </cell>
        </row>
        <row r="693">
          <cell r="A693" t="str">
            <v>OXX1100350</v>
          </cell>
          <cell r="B693" t="str">
            <v>OXX</v>
          </cell>
          <cell r="C693">
            <v>1100350</v>
          </cell>
          <cell r="D693">
            <v>45162</v>
          </cell>
          <cell r="E693" t="str">
            <v>RUA SANTO ANDRÉ , 324</v>
          </cell>
          <cell r="F693" t="str">
            <v>CENTRO - SANTO SALÃO</v>
          </cell>
          <cell r="G693" t="str">
            <v>SANTO ANDRÉ</v>
          </cell>
          <cell r="H693" t="str">
            <v>SP LESTE X</v>
          </cell>
          <cell r="I693" t="str">
            <v>P</v>
          </cell>
          <cell r="J693">
            <v>3</v>
          </cell>
          <cell r="K693" t="str">
            <v>DIURNO</v>
          </cell>
          <cell r="L693" t="str">
            <v>ANDERSON</v>
          </cell>
          <cell r="M693" t="str">
            <v>UBER</v>
          </cell>
          <cell r="N693">
            <v>0.3125</v>
          </cell>
        </row>
        <row r="694">
          <cell r="A694" t="str">
            <v>CFO440</v>
          </cell>
          <cell r="B694" t="str">
            <v>CFO</v>
          </cell>
          <cell r="C694">
            <v>440</v>
          </cell>
          <cell r="D694">
            <v>45162</v>
          </cell>
          <cell r="E694" t="str">
            <v>AV : DOM PEDRO I , 2131</v>
          </cell>
          <cell r="F694" t="str">
            <v>JD. BELMAR</v>
          </cell>
          <cell r="G694" t="str">
            <v>GUARUJÁ</v>
          </cell>
          <cell r="H694" t="str">
            <v>SP SUL</v>
          </cell>
          <cell r="I694" t="str">
            <v>PA</v>
          </cell>
          <cell r="J694">
            <v>24</v>
          </cell>
          <cell r="K694">
            <v>0</v>
          </cell>
          <cell r="L694" t="str">
            <v>CAMILA/YGOR</v>
          </cell>
          <cell r="M694" t="str">
            <v>02 VANS</v>
          </cell>
          <cell r="N694">
            <v>0.66666666666666663</v>
          </cell>
        </row>
        <row r="695">
          <cell r="A695" t="str">
            <v>EXS5659</v>
          </cell>
          <cell r="B695" t="str">
            <v>EXS</v>
          </cell>
          <cell r="C695">
            <v>5659</v>
          </cell>
          <cell r="D695">
            <v>45162</v>
          </cell>
          <cell r="E695" t="str">
            <v>RUA PROF. DOMINGOS CAMBIAGHI , 117</v>
          </cell>
          <cell r="F695" t="str">
            <v>CENTRO</v>
          </cell>
          <cell r="G695" t="str">
            <v>LEME</v>
          </cell>
          <cell r="H695" t="str">
            <v>SP SUL</v>
          </cell>
          <cell r="I695" t="str">
            <v>APOIO</v>
          </cell>
          <cell r="J695">
            <v>5</v>
          </cell>
          <cell r="K695">
            <v>0</v>
          </cell>
          <cell r="L695" t="str">
            <v>ANDRE</v>
          </cell>
          <cell r="M695" t="str">
            <v>01 CARRO ( JUVA )</v>
          </cell>
          <cell r="N695">
            <v>0.66666666666666663</v>
          </cell>
        </row>
        <row r="696">
          <cell r="A696" t="str">
            <v>HNTN014</v>
          </cell>
          <cell r="B696" t="str">
            <v>HNT</v>
          </cell>
          <cell r="C696" t="str">
            <v>N014</v>
          </cell>
          <cell r="D696">
            <v>45162</v>
          </cell>
          <cell r="E696" t="str">
            <v>ALAMEDA DOS ARAPANÉS , 1111</v>
          </cell>
          <cell r="F696" t="str">
            <v>MOEMA</v>
          </cell>
          <cell r="G696" t="str">
            <v>SÃO PAULO</v>
          </cell>
          <cell r="H696" t="str">
            <v>SP SUL</v>
          </cell>
          <cell r="I696" t="str">
            <v>T</v>
          </cell>
          <cell r="J696">
            <v>20</v>
          </cell>
          <cell r="K696">
            <v>0</v>
          </cell>
          <cell r="L696" t="str">
            <v>JUSCELINO/FERNANDO</v>
          </cell>
          <cell r="M696" t="str">
            <v>NÃO</v>
          </cell>
          <cell r="N696" t="str">
            <v>NÃO</v>
          </cell>
        </row>
        <row r="697">
          <cell r="A697" t="str">
            <v>HNTN017</v>
          </cell>
          <cell r="B697" t="str">
            <v>HNT</v>
          </cell>
          <cell r="C697" t="str">
            <v>N017</v>
          </cell>
          <cell r="D697">
            <v>45162</v>
          </cell>
          <cell r="E697" t="str">
            <v>AV : KENNEDY , 782</v>
          </cell>
          <cell r="F697" t="str">
            <v>JARDIM DO MAR</v>
          </cell>
          <cell r="G697" t="str">
            <v>SÃO BERNARDO DO CAMPO</v>
          </cell>
          <cell r="H697" t="str">
            <v>SP SUL</v>
          </cell>
          <cell r="I697" t="str">
            <v>T</v>
          </cell>
          <cell r="J697">
            <v>22</v>
          </cell>
          <cell r="K697">
            <v>0</v>
          </cell>
          <cell r="L697" t="str">
            <v>ELAINE/CARLOS</v>
          </cell>
          <cell r="M697" t="str">
            <v>01 VAN de 18 e UBER</v>
          </cell>
          <cell r="N697">
            <v>0.6875</v>
          </cell>
        </row>
        <row r="698">
          <cell r="A698" t="str">
            <v>STMS902</v>
          </cell>
          <cell r="B698" t="str">
            <v>STM</v>
          </cell>
          <cell r="C698" t="str">
            <v>S902</v>
          </cell>
          <cell r="D698">
            <v>45162</v>
          </cell>
          <cell r="E698" t="str">
            <v>AV : ROQUE PETRONI JÚNIOR , 1089</v>
          </cell>
          <cell r="F698" t="str">
            <v>SHOPPING MORUMBI</v>
          </cell>
          <cell r="G698" t="str">
            <v>SÃO PAULO</v>
          </cell>
          <cell r="H698" t="str">
            <v>SP SUL</v>
          </cell>
          <cell r="I698" t="str">
            <v>T</v>
          </cell>
          <cell r="J698">
            <v>32</v>
          </cell>
          <cell r="K698">
            <v>0</v>
          </cell>
          <cell r="L698" t="str">
            <v>RUAN/VIANA</v>
          </cell>
          <cell r="M698" t="str">
            <v>NÃO</v>
          </cell>
          <cell r="N698" t="str">
            <v>NÃO</v>
          </cell>
        </row>
        <row r="699">
          <cell r="A699" t="str">
            <v>OXX1094927</v>
          </cell>
          <cell r="B699" t="str">
            <v>OXX</v>
          </cell>
          <cell r="C699">
            <v>1094927</v>
          </cell>
          <cell r="D699">
            <v>45162</v>
          </cell>
          <cell r="E699" t="str">
            <v>RUA CARAMURU , 580</v>
          </cell>
          <cell r="F699" t="str">
            <v>SAÚDE - CARAMUJO</v>
          </cell>
          <cell r="G699" t="str">
            <v>SÃO PAULO</v>
          </cell>
          <cell r="H699" t="str">
            <v>SP SUL X</v>
          </cell>
          <cell r="I699" t="str">
            <v>P</v>
          </cell>
          <cell r="J699">
            <v>3</v>
          </cell>
          <cell r="K699" t="str">
            <v>DIURNO</v>
          </cell>
          <cell r="L699" t="str">
            <v>JÉSSICA</v>
          </cell>
          <cell r="M699" t="str">
            <v>NÃO</v>
          </cell>
          <cell r="N699" t="str">
            <v>NÃO</v>
          </cell>
        </row>
        <row r="700">
          <cell r="A700" t="str">
            <v>OXX1095030</v>
          </cell>
          <cell r="B700" t="str">
            <v>OXX</v>
          </cell>
          <cell r="C700">
            <v>1095030</v>
          </cell>
          <cell r="D700">
            <v>45162</v>
          </cell>
          <cell r="E700" t="str">
            <v>RUA HUMBERTO I , 168</v>
          </cell>
          <cell r="F700" t="str">
            <v>VILA MARIANA - BAKERY</v>
          </cell>
          <cell r="G700" t="str">
            <v>SÃO PAULO</v>
          </cell>
          <cell r="H700" t="str">
            <v>SP SUL X</v>
          </cell>
          <cell r="I700" t="str">
            <v>P</v>
          </cell>
          <cell r="J700">
            <v>3</v>
          </cell>
          <cell r="K700" t="str">
            <v>DIURNO</v>
          </cell>
          <cell r="L700" t="str">
            <v>CLAUDIA</v>
          </cell>
          <cell r="M700" t="str">
            <v>NÃO</v>
          </cell>
          <cell r="N700" t="str">
            <v>NÃO</v>
          </cell>
        </row>
        <row r="701">
          <cell r="A701" t="str">
            <v>OXX1095397</v>
          </cell>
          <cell r="B701" t="str">
            <v>OXX</v>
          </cell>
          <cell r="C701">
            <v>1095397</v>
          </cell>
          <cell r="D701">
            <v>45162</v>
          </cell>
          <cell r="E701" t="str">
            <v>RUA SILVA BUENO , 2213</v>
          </cell>
          <cell r="F701" t="str">
            <v>IPIRANGA - CLEMENTE</v>
          </cell>
          <cell r="G701" t="str">
            <v>SÃO PAULO</v>
          </cell>
          <cell r="H701" t="str">
            <v>SP SUL X</v>
          </cell>
          <cell r="I701" t="str">
            <v>P</v>
          </cell>
          <cell r="J701">
            <v>3</v>
          </cell>
          <cell r="K701" t="str">
            <v>DIURNO</v>
          </cell>
          <cell r="L701" t="str">
            <v>RAYANE</v>
          </cell>
          <cell r="M701" t="str">
            <v>NÃO</v>
          </cell>
          <cell r="N701" t="str">
            <v>NÃO</v>
          </cell>
        </row>
        <row r="702">
          <cell r="A702" t="str">
            <v>OXX1097050</v>
          </cell>
          <cell r="B702" t="str">
            <v>OXX</v>
          </cell>
          <cell r="C702">
            <v>1097050</v>
          </cell>
          <cell r="D702">
            <v>45162</v>
          </cell>
          <cell r="E702" t="str">
            <v>AV : SANTO ALBANO , 761</v>
          </cell>
          <cell r="F702" t="str">
            <v>IPIRANGA - SANTO ALBANO</v>
          </cell>
          <cell r="G702" t="str">
            <v>SÃO PAULO</v>
          </cell>
          <cell r="H702" t="str">
            <v>SP SUL X</v>
          </cell>
          <cell r="I702" t="str">
            <v>P</v>
          </cell>
          <cell r="J702">
            <v>3</v>
          </cell>
          <cell r="K702" t="str">
            <v>DIURNO</v>
          </cell>
          <cell r="L702" t="str">
            <v>NATHALIA</v>
          </cell>
          <cell r="M702" t="str">
            <v>NÃO</v>
          </cell>
          <cell r="N702" t="str">
            <v>NÃO</v>
          </cell>
        </row>
        <row r="703">
          <cell r="A703" t="str">
            <v>OXX1100139</v>
          </cell>
          <cell r="B703" t="str">
            <v>OXX</v>
          </cell>
          <cell r="C703">
            <v>1100139</v>
          </cell>
          <cell r="D703">
            <v>45162</v>
          </cell>
          <cell r="E703" t="str">
            <v>RUA BARÃO DE JUNDIAÍ , 162</v>
          </cell>
          <cell r="F703" t="str">
            <v>LAPA - BARÃO DOCE</v>
          </cell>
          <cell r="G703" t="str">
            <v>SÃO PAULO</v>
          </cell>
          <cell r="H703" t="str">
            <v>SP SUL X</v>
          </cell>
          <cell r="I703" t="str">
            <v>P</v>
          </cell>
          <cell r="J703">
            <v>3</v>
          </cell>
          <cell r="K703" t="str">
            <v>DIURNO</v>
          </cell>
          <cell r="L703" t="str">
            <v>FLAVIA</v>
          </cell>
          <cell r="M703" t="str">
            <v>NÃO</v>
          </cell>
          <cell r="N703" t="str">
            <v>NÃO</v>
          </cell>
        </row>
        <row r="704">
          <cell r="A704" t="str">
            <v/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 t="str">
            <v>Total</v>
          </cell>
          <cell r="J704">
            <v>420</v>
          </cell>
          <cell r="K704">
            <v>170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/>
          </cell>
          <cell r="B705">
            <v>0</v>
          </cell>
          <cell r="C705">
            <v>0</v>
          </cell>
          <cell r="D705">
            <v>0</v>
          </cell>
          <cell r="E705">
            <v>45163</v>
          </cell>
          <cell r="F705" t="str">
            <v>SEXTA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HORF034</v>
          </cell>
          <cell r="B706" t="str">
            <v>HOR</v>
          </cell>
          <cell r="C706" t="str">
            <v>F034</v>
          </cell>
          <cell r="D706">
            <v>45163</v>
          </cell>
          <cell r="E706" t="str">
            <v>AV : ATAULFO DE PAIVA , 80 - LOJA A</v>
          </cell>
          <cell r="F706" t="str">
            <v>LEBLON - LEVE</v>
          </cell>
          <cell r="G706" t="str">
            <v>RIO DE JANEIRO</v>
          </cell>
          <cell r="H706" t="str">
            <v>RJ</v>
          </cell>
          <cell r="I706" t="str">
            <v>T</v>
          </cell>
          <cell r="J706">
            <v>9</v>
          </cell>
          <cell r="K706">
            <v>0</v>
          </cell>
          <cell r="L706" t="str">
            <v>MICHELE</v>
          </cell>
          <cell r="M706" t="str">
            <v>NÃO</v>
          </cell>
          <cell r="N706" t="str">
            <v>NÃO</v>
          </cell>
        </row>
        <row r="707">
          <cell r="A707" t="str">
            <v>DSP308</v>
          </cell>
          <cell r="B707" t="str">
            <v>DSP</v>
          </cell>
          <cell r="C707">
            <v>308</v>
          </cell>
          <cell r="D707">
            <v>45163</v>
          </cell>
          <cell r="E707" t="str">
            <v>RUA RIO BRANCO , 24-45</v>
          </cell>
          <cell r="F707" t="str">
            <v>JD. ESTORIL IV</v>
          </cell>
          <cell r="G707" t="str">
            <v>BAURU</v>
          </cell>
          <cell r="H707" t="str">
            <v>SP INT BAURU</v>
          </cell>
          <cell r="I707" t="str">
            <v>T</v>
          </cell>
          <cell r="J707">
            <v>14</v>
          </cell>
          <cell r="K707">
            <v>0</v>
          </cell>
          <cell r="L707" t="str">
            <v>ROSÂNGELA</v>
          </cell>
          <cell r="M707" t="str">
            <v>NÃO</v>
          </cell>
          <cell r="N707" t="str">
            <v>NÃO</v>
          </cell>
        </row>
        <row r="708">
          <cell r="A708" t="str">
            <v>DSP2001</v>
          </cell>
          <cell r="B708" t="str">
            <v>DSP</v>
          </cell>
          <cell r="C708">
            <v>2001</v>
          </cell>
          <cell r="D708">
            <v>45163</v>
          </cell>
          <cell r="E708" t="str">
            <v>AV : ANTÔNIO PASCHOAL , 832</v>
          </cell>
          <cell r="F708" t="str">
            <v>SÃO JOÃO - 24h</v>
          </cell>
          <cell r="G708" t="str">
            <v>SERTÃOZINHO</v>
          </cell>
          <cell r="H708" t="str">
            <v>SP INT BAURU</v>
          </cell>
          <cell r="I708" t="str">
            <v>T</v>
          </cell>
          <cell r="J708">
            <v>11</v>
          </cell>
          <cell r="K708">
            <v>0</v>
          </cell>
          <cell r="L708" t="str">
            <v>VICTOR</v>
          </cell>
          <cell r="M708" t="str">
            <v>01 VAN</v>
          </cell>
          <cell r="N708">
            <v>0.6875</v>
          </cell>
        </row>
        <row r="709">
          <cell r="A709" t="str">
            <v>OXX1089319</v>
          </cell>
          <cell r="B709" t="str">
            <v>OXX</v>
          </cell>
          <cell r="C709">
            <v>1089319</v>
          </cell>
          <cell r="D709">
            <v>45163</v>
          </cell>
          <cell r="E709" t="str">
            <v>RUA ANCHIETA , 477</v>
          </cell>
          <cell r="F709" t="str">
            <v>VILA BOAVENTURA - ANCHIETA</v>
          </cell>
          <cell r="G709" t="str">
            <v>JUNDIAÍ</v>
          </cell>
          <cell r="H709" t="str">
            <v>SP INT CPN</v>
          </cell>
          <cell r="I709" t="str">
            <v>P</v>
          </cell>
          <cell r="J709">
            <v>3</v>
          </cell>
          <cell r="K709" t="str">
            <v>DIURNO</v>
          </cell>
          <cell r="L709" t="str">
            <v>IZABELA/THALIA</v>
          </cell>
          <cell r="M709" t="str">
            <v>UBER</v>
          </cell>
          <cell r="N709">
            <v>0.29166666666666669</v>
          </cell>
        </row>
        <row r="710">
          <cell r="A710" t="str">
            <v>OXX1093842</v>
          </cell>
          <cell r="B710" t="str">
            <v>OXX</v>
          </cell>
          <cell r="C710">
            <v>1093842</v>
          </cell>
          <cell r="D710">
            <v>45163</v>
          </cell>
          <cell r="E710" t="str">
            <v>RUA BARONESA GERALDO DE RESENDE , 419</v>
          </cell>
          <cell r="F710" t="str">
            <v>GUANABARA - SALESIANO</v>
          </cell>
          <cell r="G710" t="str">
            <v>CAMPINAS</v>
          </cell>
          <cell r="H710" t="str">
            <v>SP INT CPN</v>
          </cell>
          <cell r="I710" t="str">
            <v>P</v>
          </cell>
          <cell r="J710">
            <v>3</v>
          </cell>
          <cell r="K710" t="str">
            <v>DIURNO</v>
          </cell>
          <cell r="L710" t="str">
            <v>LEONARDO</v>
          </cell>
          <cell r="M710" t="str">
            <v>NÃO</v>
          </cell>
          <cell r="N710" t="str">
            <v>NÃO</v>
          </cell>
        </row>
        <row r="711">
          <cell r="A711" t="str">
            <v>OXX1096002</v>
          </cell>
          <cell r="B711" t="str">
            <v>OXX</v>
          </cell>
          <cell r="C711">
            <v>1096002</v>
          </cell>
          <cell r="D711">
            <v>45163</v>
          </cell>
          <cell r="E711" t="str">
            <v>RUA VISCONDE CAIRU , 218</v>
          </cell>
          <cell r="F711" t="str">
            <v>VILA INDEPENDÊNCIA - POLITÉCNICO</v>
          </cell>
          <cell r="G711" t="str">
            <v>SOROCABA</v>
          </cell>
          <cell r="H711" t="str">
            <v>SP INT CPN</v>
          </cell>
          <cell r="I711" t="str">
            <v>P</v>
          </cell>
          <cell r="J711">
            <v>3</v>
          </cell>
          <cell r="K711" t="str">
            <v>DIURNO</v>
          </cell>
          <cell r="L711" t="str">
            <v>LETÍCIA/EVA</v>
          </cell>
          <cell r="M711" t="str">
            <v>UBER</v>
          </cell>
          <cell r="N711">
            <v>0.25</v>
          </cell>
        </row>
        <row r="712">
          <cell r="A712" t="str">
            <v>DSP318</v>
          </cell>
          <cell r="B712" t="str">
            <v>DSP</v>
          </cell>
          <cell r="C712">
            <v>318</v>
          </cell>
          <cell r="D712">
            <v>45163</v>
          </cell>
          <cell r="E712" t="str">
            <v>AV : DE CILLO , 167</v>
          </cell>
          <cell r="F712" t="str">
            <v>CENTRO</v>
          </cell>
          <cell r="G712" t="str">
            <v>SANTA BÁRBARA D´OESTE</v>
          </cell>
          <cell r="H712" t="str">
            <v>SP INT LIMEIRA</v>
          </cell>
          <cell r="I712" t="str">
            <v>T</v>
          </cell>
          <cell r="J712">
            <v>13</v>
          </cell>
          <cell r="K712">
            <v>0</v>
          </cell>
          <cell r="L712" t="str">
            <v>EMERSON</v>
          </cell>
          <cell r="M712" t="str">
            <v>01 VAN</v>
          </cell>
          <cell r="N712">
            <v>0.77083333333333337</v>
          </cell>
        </row>
        <row r="713">
          <cell r="A713" t="str">
            <v>APC107</v>
          </cell>
          <cell r="B713" t="str">
            <v>APC</v>
          </cell>
          <cell r="C713">
            <v>107</v>
          </cell>
          <cell r="D713">
            <v>45163</v>
          </cell>
          <cell r="E713" t="str">
            <v>AV : SANTOS DUMONT , 2611</v>
          </cell>
          <cell r="F713" t="str">
            <v>VICENTE DE CARVALHO</v>
          </cell>
          <cell r="G713" t="str">
            <v>GUARUJÁ</v>
          </cell>
          <cell r="H713" t="str">
            <v>SP LESTE</v>
          </cell>
          <cell r="I713" t="str">
            <v>T</v>
          </cell>
          <cell r="J713">
            <v>3</v>
          </cell>
          <cell r="K713" t="str">
            <v>DIURNO</v>
          </cell>
          <cell r="L713" t="str">
            <v>CHRIS</v>
          </cell>
          <cell r="M713" t="str">
            <v>01 CARRO</v>
          </cell>
          <cell r="N713">
            <v>0.27083333333333331</v>
          </cell>
        </row>
        <row r="714">
          <cell r="A714" t="str">
            <v>DSP98</v>
          </cell>
          <cell r="B714" t="str">
            <v>DSP</v>
          </cell>
          <cell r="C714">
            <v>98</v>
          </cell>
          <cell r="D714">
            <v>45163</v>
          </cell>
          <cell r="E714" t="str">
            <v>RUA DR. CÉSAR CASTIGLIONE JÚNIOR , 225</v>
          </cell>
          <cell r="F714" t="str">
            <v>CASA VERDE - 24h</v>
          </cell>
          <cell r="G714" t="str">
            <v>SÃO PAULO</v>
          </cell>
          <cell r="H714" t="str">
            <v>SP LESTE</v>
          </cell>
          <cell r="I714" t="str">
            <v>T</v>
          </cell>
          <cell r="J714">
            <v>14</v>
          </cell>
          <cell r="K714">
            <v>0</v>
          </cell>
          <cell r="L714" t="str">
            <v>LUANA/MARCELO</v>
          </cell>
          <cell r="M714" t="str">
            <v>NÃO</v>
          </cell>
          <cell r="N714" t="str">
            <v>NÃO</v>
          </cell>
        </row>
        <row r="715">
          <cell r="A715" t="str">
            <v>PMO59</v>
          </cell>
          <cell r="B715" t="str">
            <v>PMO</v>
          </cell>
          <cell r="C715">
            <v>59</v>
          </cell>
          <cell r="D715">
            <v>45163</v>
          </cell>
          <cell r="E715" t="str">
            <v>AV : GENERAL PENHA BRASIL , 1385/1407</v>
          </cell>
          <cell r="F715" t="str">
            <v xml:space="preserve">VILA NOVA CACHOEIRINHA </v>
          </cell>
          <cell r="G715" t="str">
            <v>SÃO PAULO</v>
          </cell>
          <cell r="H715" t="str">
            <v>SP LESTE</v>
          </cell>
          <cell r="I715" t="str">
            <v>T</v>
          </cell>
          <cell r="J715">
            <v>4</v>
          </cell>
          <cell r="K715">
            <v>0</v>
          </cell>
          <cell r="L715" t="str">
            <v>TAMIRES/JÉSSICA</v>
          </cell>
          <cell r="M715" t="str">
            <v>NÃO</v>
          </cell>
          <cell r="N715" t="str">
            <v>NÃO</v>
          </cell>
        </row>
        <row r="716">
          <cell r="A716" t="str">
            <v>OXX1089517</v>
          </cell>
          <cell r="B716" t="str">
            <v>OXX</v>
          </cell>
          <cell r="C716">
            <v>1089517</v>
          </cell>
          <cell r="D716">
            <v>45163</v>
          </cell>
          <cell r="E716" t="str">
            <v>AV : FRANCISCO MATARAZZO , 877</v>
          </cell>
          <cell r="F716" t="str">
            <v>ÁGUA BRANCA - MATARAZZO</v>
          </cell>
          <cell r="G716" t="str">
            <v>SÃO PAULO</v>
          </cell>
          <cell r="H716" t="str">
            <v>SP LESTE X</v>
          </cell>
          <cell r="I716" t="str">
            <v>P</v>
          </cell>
          <cell r="J716">
            <v>3</v>
          </cell>
          <cell r="K716" t="str">
            <v>DIURNO</v>
          </cell>
          <cell r="L716" t="str">
            <v>CÁSSIA/ARTHUR</v>
          </cell>
          <cell r="M716" t="str">
            <v>NÃO</v>
          </cell>
          <cell r="N716" t="str">
            <v>NÃO</v>
          </cell>
        </row>
        <row r="717">
          <cell r="A717" t="str">
            <v>OXX1090220</v>
          </cell>
          <cell r="B717" t="str">
            <v>OXX</v>
          </cell>
          <cell r="C717">
            <v>1090220</v>
          </cell>
          <cell r="D717">
            <v>45163</v>
          </cell>
          <cell r="E717" t="str">
            <v>RUA RAMOS BATISTA , 284</v>
          </cell>
          <cell r="F717" t="str">
            <v>VILA OLÍMPIA - RAMOS BATISTA</v>
          </cell>
          <cell r="G717" t="str">
            <v>SÃO PAULO</v>
          </cell>
          <cell r="H717" t="str">
            <v>SP LESTE X</v>
          </cell>
          <cell r="I717" t="str">
            <v>T</v>
          </cell>
          <cell r="J717">
            <v>4</v>
          </cell>
          <cell r="K717" t="str">
            <v>DIURNO</v>
          </cell>
          <cell r="L717" t="str">
            <v>GAMA</v>
          </cell>
          <cell r="M717" t="str">
            <v>NÃO</v>
          </cell>
          <cell r="N717" t="str">
            <v>NÃO</v>
          </cell>
        </row>
        <row r="718">
          <cell r="A718" t="str">
            <v>OXX1090585</v>
          </cell>
          <cell r="B718" t="str">
            <v>OXX</v>
          </cell>
          <cell r="C718">
            <v>1090585</v>
          </cell>
          <cell r="D718">
            <v>45163</v>
          </cell>
          <cell r="E718" t="str">
            <v>PRAÇA DA REPÚBLICA , 76</v>
          </cell>
          <cell r="F718" t="str">
            <v>CENTRO - METRÔ REPÚBLICA</v>
          </cell>
          <cell r="G718" t="str">
            <v>SÃO PAULO</v>
          </cell>
          <cell r="H718" t="str">
            <v>SP LESTE X</v>
          </cell>
          <cell r="I718" t="str">
            <v>P</v>
          </cell>
          <cell r="J718">
            <v>3</v>
          </cell>
          <cell r="K718" t="str">
            <v>DIURNO</v>
          </cell>
          <cell r="L718" t="str">
            <v>JOSÉ WELVYS/LARISSA</v>
          </cell>
          <cell r="M718" t="str">
            <v>NÃO</v>
          </cell>
          <cell r="N718" t="str">
            <v>NÃO</v>
          </cell>
        </row>
        <row r="719">
          <cell r="A719" t="str">
            <v>OXX1095737</v>
          </cell>
          <cell r="B719" t="str">
            <v>OXX</v>
          </cell>
          <cell r="C719">
            <v>1095737</v>
          </cell>
          <cell r="D719">
            <v>45163</v>
          </cell>
          <cell r="E719" t="str">
            <v>RUA PEDRO DOLL , 253</v>
          </cell>
          <cell r="F719" t="str">
            <v>SANTANA - PEDRO DOLL</v>
          </cell>
          <cell r="G719" t="str">
            <v>SÃO PAULO</v>
          </cell>
          <cell r="H719" t="str">
            <v>SP LESTE X</v>
          </cell>
          <cell r="I719" t="str">
            <v>P</v>
          </cell>
          <cell r="J719">
            <v>3</v>
          </cell>
          <cell r="K719" t="str">
            <v>DIURNO</v>
          </cell>
          <cell r="L719" t="str">
            <v>ANDERSON</v>
          </cell>
          <cell r="M719" t="str">
            <v>NÃO</v>
          </cell>
          <cell r="N719" t="str">
            <v>NÃO</v>
          </cell>
        </row>
        <row r="720">
          <cell r="A720" t="str">
            <v>DSP2367</v>
          </cell>
          <cell r="B720" t="str">
            <v>DSP</v>
          </cell>
          <cell r="C720">
            <v>2367</v>
          </cell>
          <cell r="D720">
            <v>45163</v>
          </cell>
          <cell r="E720" t="str">
            <v>AV : JOSÉ LOURENÇO , 469</v>
          </cell>
          <cell r="F720" t="str">
            <v>JAGUARIBE</v>
          </cell>
          <cell r="G720" t="str">
            <v>OSASCO</v>
          </cell>
          <cell r="H720" t="str">
            <v>SP SUL</v>
          </cell>
          <cell r="I720" t="str">
            <v>T</v>
          </cell>
          <cell r="J720">
            <v>11</v>
          </cell>
          <cell r="K720">
            <v>0</v>
          </cell>
          <cell r="L720" t="str">
            <v>ELAINE</v>
          </cell>
          <cell r="M720" t="str">
            <v>01 VAN</v>
          </cell>
          <cell r="N720">
            <v>0.79166666666666663</v>
          </cell>
        </row>
        <row r="721">
          <cell r="A721" t="str">
            <v>OXX1089849</v>
          </cell>
          <cell r="B721" t="str">
            <v>OXX</v>
          </cell>
          <cell r="C721">
            <v>1089849</v>
          </cell>
          <cell r="D721">
            <v>45163</v>
          </cell>
          <cell r="E721" t="str">
            <v>RUA VERGUEIRO , 3459</v>
          </cell>
          <cell r="F721" t="str">
            <v>VILA MARIANA - FRANCISCO CRUZ</v>
          </cell>
          <cell r="G721" t="str">
            <v>SÃO PAULO</v>
          </cell>
          <cell r="H721" t="str">
            <v>SP SUL X</v>
          </cell>
          <cell r="I721" t="str">
            <v>P</v>
          </cell>
          <cell r="J721">
            <v>3</v>
          </cell>
          <cell r="K721" t="str">
            <v>DIURNO</v>
          </cell>
          <cell r="L721" t="str">
            <v>JESSICA</v>
          </cell>
          <cell r="M721" t="str">
            <v>NÃO</v>
          </cell>
          <cell r="N721" t="str">
            <v>NÃO</v>
          </cell>
        </row>
        <row r="722">
          <cell r="A722" t="str">
            <v>OXX1090220</v>
          </cell>
          <cell r="B722" t="str">
            <v>OXX</v>
          </cell>
          <cell r="C722">
            <v>1090220</v>
          </cell>
          <cell r="D722">
            <v>45163</v>
          </cell>
          <cell r="E722" t="str">
            <v>RUA RAMOS BATISTA , 284</v>
          </cell>
          <cell r="F722" t="str">
            <v>VILA OLÍMPIA - RAMOS BATISTA</v>
          </cell>
          <cell r="G722" t="str">
            <v>SÃO PAULO</v>
          </cell>
          <cell r="H722" t="str">
            <v>SP SUL X</v>
          </cell>
          <cell r="I722" t="str">
            <v>P</v>
          </cell>
          <cell r="J722">
            <v>3</v>
          </cell>
          <cell r="K722" t="str">
            <v>DIURNO</v>
          </cell>
          <cell r="L722" t="str">
            <v>CLAUDIA</v>
          </cell>
          <cell r="M722" t="str">
            <v>NÃO</v>
          </cell>
          <cell r="N722" t="str">
            <v>NÃO</v>
          </cell>
        </row>
        <row r="723">
          <cell r="A723" t="str">
            <v>OXX1093745</v>
          </cell>
          <cell r="B723" t="str">
            <v>OXX</v>
          </cell>
          <cell r="C723">
            <v>1093745</v>
          </cell>
          <cell r="D723">
            <v>45163</v>
          </cell>
          <cell r="E723" t="str">
            <v>RUA PARAGUAÇU , 376</v>
          </cell>
          <cell r="F723" t="str">
            <v>PERDIZES - PARAGUAÇU</v>
          </cell>
          <cell r="G723" t="str">
            <v>SÃO PAULO</v>
          </cell>
          <cell r="H723" t="str">
            <v>SP SUL X</v>
          </cell>
          <cell r="I723" t="str">
            <v>P</v>
          </cell>
          <cell r="J723">
            <v>3</v>
          </cell>
          <cell r="K723" t="str">
            <v>DIURNO</v>
          </cell>
          <cell r="L723" t="str">
            <v>NATHALIA</v>
          </cell>
          <cell r="M723" t="str">
            <v>NÃO</v>
          </cell>
          <cell r="N723" t="str">
            <v>NÃO</v>
          </cell>
        </row>
        <row r="724">
          <cell r="A724" t="str">
            <v>OXX1095979</v>
          </cell>
          <cell r="B724" t="str">
            <v>OXX</v>
          </cell>
          <cell r="C724">
            <v>1095979</v>
          </cell>
          <cell r="D724">
            <v>45163</v>
          </cell>
          <cell r="E724" t="str">
            <v>RUA AVANHANDAVA , 63</v>
          </cell>
          <cell r="F724" t="str">
            <v>CONSOLAÇÃO - AVANHANDAVA</v>
          </cell>
          <cell r="G724" t="str">
            <v>SÃO PAULO</v>
          </cell>
          <cell r="H724" t="str">
            <v>SP SUL X</v>
          </cell>
          <cell r="I724" t="str">
            <v>P</v>
          </cell>
          <cell r="J724">
            <v>3</v>
          </cell>
          <cell r="K724" t="str">
            <v>DIURNO</v>
          </cell>
          <cell r="L724" t="str">
            <v>RAYANE</v>
          </cell>
          <cell r="M724" t="str">
            <v>NÃO</v>
          </cell>
          <cell r="N724" t="str">
            <v>NÃO</v>
          </cell>
        </row>
        <row r="725">
          <cell r="A725" t="str">
            <v/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 t="str">
            <v>Total</v>
          </cell>
          <cell r="J725">
            <v>113</v>
          </cell>
          <cell r="K725">
            <v>477</v>
          </cell>
          <cell r="L725">
            <v>0</v>
          </cell>
          <cell r="M725">
            <v>0</v>
          </cell>
          <cell r="N725">
            <v>0</v>
          </cell>
        </row>
        <row r="726">
          <cell r="A726" t="str">
            <v/>
          </cell>
          <cell r="B726">
            <v>0</v>
          </cell>
          <cell r="C726">
            <v>0</v>
          </cell>
          <cell r="D726">
            <v>0</v>
          </cell>
          <cell r="E726">
            <v>45164</v>
          </cell>
          <cell r="F726" t="str">
            <v>SÁBADO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ASI136</v>
          </cell>
          <cell r="B727" t="str">
            <v>ASI</v>
          </cell>
          <cell r="C727">
            <v>136</v>
          </cell>
          <cell r="D727">
            <v>45164</v>
          </cell>
          <cell r="E727" t="str">
            <v>AV : BRASIL , 2251</v>
          </cell>
          <cell r="F727" t="str">
            <v>SÃO CRISTOVÃO  - SABÃO PORTUGUÊS</v>
          </cell>
          <cell r="G727" t="str">
            <v>RIO DE JANEIRO</v>
          </cell>
          <cell r="H727" t="str">
            <v>RJ</v>
          </cell>
          <cell r="I727" t="str">
            <v>CA</v>
          </cell>
          <cell r="J727">
            <v>30</v>
          </cell>
          <cell r="K727">
            <v>0</v>
          </cell>
          <cell r="L727" t="str">
            <v>RAFAEL/ANTÔNIO</v>
          </cell>
          <cell r="M727" t="str">
            <v>NÃO</v>
          </cell>
          <cell r="N727" t="str">
            <v>NÃO</v>
          </cell>
        </row>
        <row r="728">
          <cell r="A728" t="str">
            <v>ASI165</v>
          </cell>
          <cell r="B728" t="str">
            <v>ASI</v>
          </cell>
          <cell r="C728">
            <v>165</v>
          </cell>
          <cell r="D728">
            <v>45164</v>
          </cell>
          <cell r="E728" t="str">
            <v xml:space="preserve">AV : HENRIQUE PERES , 1330 </v>
          </cell>
          <cell r="F728" t="str">
            <v>BRÁS CUBAS</v>
          </cell>
          <cell r="G728" t="str">
            <v>MOGI DAS CRUZES</v>
          </cell>
          <cell r="H728" t="str">
            <v>SP INT SJC</v>
          </cell>
          <cell r="I728" t="str">
            <v>CA</v>
          </cell>
          <cell r="J728">
            <v>25</v>
          </cell>
          <cell r="K728">
            <v>0</v>
          </cell>
          <cell r="L728" t="str">
            <v>JAÍNE/FELIPE/BRUNA</v>
          </cell>
          <cell r="M728" t="str">
            <v>02 VANS</v>
          </cell>
          <cell r="N728">
            <v>0.6875</v>
          </cell>
        </row>
        <row r="729">
          <cell r="A729" t="str">
            <v>ASI144</v>
          </cell>
          <cell r="B729" t="str">
            <v>ASI</v>
          </cell>
          <cell r="C729">
            <v>144</v>
          </cell>
          <cell r="D729">
            <v>45164</v>
          </cell>
          <cell r="E729" t="str">
            <v>AV : ARICANDUVA , 5555</v>
          </cell>
          <cell r="F729" t="str">
            <v>SHOPPING ARICANDUVA</v>
          </cell>
          <cell r="G729" t="str">
            <v>SÃO PAULO</v>
          </cell>
          <cell r="H729" t="str">
            <v>SP LESTE</v>
          </cell>
          <cell r="I729" t="str">
            <v>CA</v>
          </cell>
          <cell r="J729">
            <v>50</v>
          </cell>
          <cell r="K729">
            <v>0</v>
          </cell>
          <cell r="L729" t="str">
            <v>PATRÍCIA/LUÍS/JÉSSICA</v>
          </cell>
          <cell r="M729" t="str">
            <v>NÃO</v>
          </cell>
          <cell r="N729" t="str">
            <v>NÃO</v>
          </cell>
        </row>
        <row r="730">
          <cell r="A730" t="str">
            <v>MPA159</v>
          </cell>
          <cell r="B730" t="str">
            <v>MPA</v>
          </cell>
          <cell r="C730">
            <v>159</v>
          </cell>
          <cell r="D730">
            <v>45164</v>
          </cell>
          <cell r="E730" t="str">
            <v>AV : PAULISTA , 709</v>
          </cell>
          <cell r="F730" t="str">
            <v>BELA VISTA - SANTANDER</v>
          </cell>
          <cell r="G730" t="str">
            <v>SÃO PAULO</v>
          </cell>
          <cell r="H730" t="str">
            <v>SP LESTE</v>
          </cell>
          <cell r="I730" t="str">
            <v>T</v>
          </cell>
          <cell r="J730">
            <v>11</v>
          </cell>
          <cell r="K730">
            <v>0</v>
          </cell>
          <cell r="L730" t="str">
            <v>CARINA/ANTÔNIO</v>
          </cell>
          <cell r="M730" t="str">
            <v>NÃO</v>
          </cell>
          <cell r="N730" t="str">
            <v>NÃO</v>
          </cell>
        </row>
        <row r="731">
          <cell r="A731" t="str">
            <v>MPA6445</v>
          </cell>
          <cell r="B731" t="str">
            <v>MPA</v>
          </cell>
          <cell r="C731">
            <v>6445</v>
          </cell>
          <cell r="D731">
            <v>45164</v>
          </cell>
          <cell r="E731" t="str">
            <v>AV : PAULISTA , 407</v>
          </cell>
          <cell r="F731" t="str">
            <v>BELA VISTA</v>
          </cell>
          <cell r="G731" t="str">
            <v>SÃO PAULO</v>
          </cell>
          <cell r="H731" t="str">
            <v>SP LESTE</v>
          </cell>
          <cell r="I731" t="str">
            <v>T</v>
          </cell>
          <cell r="J731">
            <v>15</v>
          </cell>
          <cell r="K731">
            <v>0</v>
          </cell>
          <cell r="L731" t="str">
            <v>LUANA/MARCELO</v>
          </cell>
          <cell r="M731" t="str">
            <v>NÃO</v>
          </cell>
          <cell r="N731" t="str">
            <v>NÃO</v>
          </cell>
        </row>
        <row r="732">
          <cell r="A732" t="str">
            <v>ASI155</v>
          </cell>
          <cell r="B732" t="str">
            <v>ASI</v>
          </cell>
          <cell r="C732">
            <v>155</v>
          </cell>
          <cell r="D732">
            <v>45164</v>
          </cell>
          <cell r="E732" t="str">
            <v>AV : SENADOR TEOTÔNIO VILELA , 2926</v>
          </cell>
          <cell r="F732" t="str">
            <v>CIDADE DUTRA</v>
          </cell>
          <cell r="G732" t="str">
            <v>SÃO PAULO</v>
          </cell>
          <cell r="H732" t="str">
            <v>SP SUL</v>
          </cell>
          <cell r="I732" t="str">
            <v>CA</v>
          </cell>
          <cell r="J732">
            <v>35</v>
          </cell>
          <cell r="K732">
            <v>0</v>
          </cell>
          <cell r="L732" t="str">
            <v>VIANA/RUAN/CAMILA</v>
          </cell>
          <cell r="M732" t="str">
            <v>NÃO</v>
          </cell>
          <cell r="N732" t="str">
            <v>NÃO</v>
          </cell>
        </row>
        <row r="733">
          <cell r="A733" t="str">
            <v>MPA129</v>
          </cell>
          <cell r="B733" t="str">
            <v>MPA</v>
          </cell>
          <cell r="C733">
            <v>129</v>
          </cell>
          <cell r="D733">
            <v>45164</v>
          </cell>
          <cell r="E733" t="str">
            <v>RUA PAMPLONA , 1173</v>
          </cell>
          <cell r="F733" t="str">
            <v>JARDINS</v>
          </cell>
          <cell r="G733" t="str">
            <v>SÃO PAULO</v>
          </cell>
          <cell r="H733" t="str">
            <v>SP SUL</v>
          </cell>
          <cell r="I733" t="str">
            <v>T</v>
          </cell>
          <cell r="J733">
            <v>9</v>
          </cell>
          <cell r="K733">
            <v>0</v>
          </cell>
          <cell r="L733" t="str">
            <v>FERNANDO/GLEDSON</v>
          </cell>
          <cell r="M733" t="str">
            <v>NÃO</v>
          </cell>
          <cell r="N733" t="str">
            <v>NÃO</v>
          </cell>
        </row>
        <row r="734">
          <cell r="A734" t="str">
            <v>MPA5745</v>
          </cell>
          <cell r="B734" t="str">
            <v>MPA</v>
          </cell>
          <cell r="C734">
            <v>5745</v>
          </cell>
          <cell r="D734">
            <v>45164</v>
          </cell>
          <cell r="E734" t="str">
            <v>RUA AFONSO CELSO , 771</v>
          </cell>
          <cell r="F734" t="str">
            <v>VILA MARIANA</v>
          </cell>
          <cell r="G734" t="str">
            <v>SÃO PAULO</v>
          </cell>
          <cell r="H734" t="str">
            <v>SP SUL</v>
          </cell>
          <cell r="I734" t="str">
            <v>T</v>
          </cell>
          <cell r="J734">
            <v>15</v>
          </cell>
          <cell r="K734">
            <v>0</v>
          </cell>
          <cell r="L734" t="str">
            <v>JUSCELINO</v>
          </cell>
          <cell r="M734" t="str">
            <v>NÃO</v>
          </cell>
          <cell r="N734" t="str">
            <v>NÃO</v>
          </cell>
        </row>
        <row r="735">
          <cell r="A735" t="str">
            <v>MPA5763</v>
          </cell>
          <cell r="B735" t="str">
            <v>MPA</v>
          </cell>
          <cell r="C735">
            <v>5763</v>
          </cell>
          <cell r="D735">
            <v>45164</v>
          </cell>
          <cell r="E735" t="str">
            <v>ALAMEDA DOS AICÁS , 132</v>
          </cell>
          <cell r="F735" t="str">
            <v>INDIANÓPOLIS - AICÁS</v>
          </cell>
          <cell r="G735" t="str">
            <v>SÃO PAULO</v>
          </cell>
          <cell r="H735" t="str">
            <v>SP SUL</v>
          </cell>
          <cell r="I735" t="str">
            <v>T</v>
          </cell>
          <cell r="J735">
            <v>13</v>
          </cell>
          <cell r="K735">
            <v>0</v>
          </cell>
          <cell r="L735" t="str">
            <v>ELAINE/DEBORA</v>
          </cell>
          <cell r="M735" t="str">
            <v>NÃO</v>
          </cell>
          <cell r="N735" t="str">
            <v>NÃO</v>
          </cell>
        </row>
        <row r="736">
          <cell r="A736" t="str">
            <v/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 t="str">
            <v>Total</v>
          </cell>
          <cell r="J736">
            <v>203</v>
          </cell>
          <cell r="K736">
            <v>387</v>
          </cell>
          <cell r="L736">
            <v>0</v>
          </cell>
          <cell r="M736">
            <v>0</v>
          </cell>
          <cell r="N736">
            <v>0</v>
          </cell>
        </row>
        <row r="737">
          <cell r="A737" t="str">
            <v/>
          </cell>
          <cell r="B737">
            <v>0</v>
          </cell>
          <cell r="C737">
            <v>0</v>
          </cell>
          <cell r="D737">
            <v>0</v>
          </cell>
          <cell r="E737">
            <v>45165</v>
          </cell>
          <cell r="F737" t="str">
            <v>DOMINGO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PEN784</v>
          </cell>
          <cell r="B738" t="str">
            <v>PEN</v>
          </cell>
          <cell r="C738">
            <v>784</v>
          </cell>
          <cell r="D738">
            <v>45165</v>
          </cell>
          <cell r="E738" t="str">
            <v>AV : TUPI , 2425</v>
          </cell>
          <cell r="F738" t="str">
            <v>CENTRO</v>
          </cell>
          <cell r="G738" t="str">
            <v>PATO BRANCO</v>
          </cell>
          <cell r="H738" t="str">
            <v>PR LONDRINA</v>
          </cell>
          <cell r="I738" t="str">
            <v>F</v>
          </cell>
          <cell r="J738">
            <v>10</v>
          </cell>
          <cell r="K738" t="str">
            <v>ROT A</v>
          </cell>
          <cell r="L738" t="str">
            <v>MARIANA</v>
          </cell>
          <cell r="M738" t="str">
            <v>01 VAN</v>
          </cell>
          <cell r="N738">
            <v>0.58333333333333337</v>
          </cell>
        </row>
        <row r="739">
          <cell r="A739" t="str">
            <v>ASI136</v>
          </cell>
          <cell r="B739" t="str">
            <v>ASI</v>
          </cell>
          <cell r="C739">
            <v>136</v>
          </cell>
          <cell r="D739">
            <v>45165</v>
          </cell>
          <cell r="E739" t="str">
            <v>AV : BRASIL , 2251</v>
          </cell>
          <cell r="F739" t="str">
            <v>SÃO CRISTOVÃO  - SABÃO PORTUGUÊS</v>
          </cell>
          <cell r="G739" t="str">
            <v>RIO DE JANEIRO</v>
          </cell>
          <cell r="H739" t="str">
            <v>RJ</v>
          </cell>
          <cell r="I739" t="str">
            <v>CP</v>
          </cell>
          <cell r="J739">
            <v>1</v>
          </cell>
          <cell r="K739" t="str">
            <v>DIURNO</v>
          </cell>
          <cell r="L739" t="str">
            <v>SHIRLEY</v>
          </cell>
          <cell r="M739" t="str">
            <v>NÃO</v>
          </cell>
          <cell r="N739" t="str">
            <v>NÃO</v>
          </cell>
        </row>
        <row r="740">
          <cell r="A740" t="str">
            <v>ASI136</v>
          </cell>
          <cell r="B740" t="str">
            <v>ASI</v>
          </cell>
          <cell r="C740">
            <v>136</v>
          </cell>
          <cell r="D740">
            <v>45165</v>
          </cell>
          <cell r="E740" t="str">
            <v>AV : BRASIL , 2251</v>
          </cell>
          <cell r="F740" t="str">
            <v>SÃO CRISTOVÃO  - SABÃO PORTUGUÊS</v>
          </cell>
          <cell r="G740" t="str">
            <v>RIO DE JANEIRO</v>
          </cell>
          <cell r="H740" t="str">
            <v>RJ</v>
          </cell>
          <cell r="I740" t="str">
            <v>T</v>
          </cell>
          <cell r="J740">
            <v>54</v>
          </cell>
          <cell r="K740">
            <v>0</v>
          </cell>
          <cell r="L740" t="str">
            <v>RAFAEL/ANTÔNIO</v>
          </cell>
          <cell r="M740" t="str">
            <v>NÃO</v>
          </cell>
          <cell r="N740" t="str">
            <v>NÃO</v>
          </cell>
        </row>
        <row r="741">
          <cell r="A741" t="str">
            <v>SVG40</v>
          </cell>
          <cell r="B741" t="str">
            <v>SVG</v>
          </cell>
          <cell r="C741">
            <v>40</v>
          </cell>
          <cell r="D741">
            <v>45165</v>
          </cell>
          <cell r="E741" t="str">
            <v>AV : DR. LAURO CORREA DA SILVA , 4005</v>
          </cell>
          <cell r="F741" t="str">
            <v>RES. VILLA DO SOL</v>
          </cell>
          <cell r="G741" t="str">
            <v>LIMEIRA</v>
          </cell>
          <cell r="H741" t="str">
            <v>SP INT BAURU</v>
          </cell>
          <cell r="I741" t="str">
            <v>APOIO</v>
          </cell>
          <cell r="J741">
            <v>15</v>
          </cell>
          <cell r="K741">
            <v>0</v>
          </cell>
          <cell r="L741" t="str">
            <v>A DEFINIR</v>
          </cell>
          <cell r="M741" t="str">
            <v>01 VAN</v>
          </cell>
          <cell r="N741">
            <v>0.66666666666666663</v>
          </cell>
        </row>
        <row r="742">
          <cell r="A742" t="str">
            <v>SVG40</v>
          </cell>
          <cell r="B742" t="str">
            <v>SVG</v>
          </cell>
          <cell r="C742">
            <v>40</v>
          </cell>
          <cell r="D742">
            <v>45165</v>
          </cell>
          <cell r="E742" t="str">
            <v>AV : DR. LAURO CORREA DA SILVA , 4005</v>
          </cell>
          <cell r="F742" t="str">
            <v>RES. VILLA DO SOL</v>
          </cell>
          <cell r="G742" t="str">
            <v>LIMEIRA</v>
          </cell>
          <cell r="H742" t="str">
            <v>SP INT LIMEIRA</v>
          </cell>
          <cell r="I742" t="str">
            <v>P</v>
          </cell>
          <cell r="J742">
            <v>22</v>
          </cell>
          <cell r="K742" t="str">
            <v>APOIO BAURU e SUL</v>
          </cell>
          <cell r="L742" t="str">
            <v>GUSTAVO</v>
          </cell>
          <cell r="M742" t="str">
            <v>01 VAN ( IRA )</v>
          </cell>
          <cell r="N742">
            <v>0.6875</v>
          </cell>
        </row>
        <row r="743">
          <cell r="A743" t="str">
            <v>ASI165</v>
          </cell>
          <cell r="B743" t="str">
            <v>ASI</v>
          </cell>
          <cell r="C743">
            <v>165</v>
          </cell>
          <cell r="D743">
            <v>45165</v>
          </cell>
          <cell r="E743" t="str">
            <v xml:space="preserve">AV : HENRIQUE PERES , 1330 </v>
          </cell>
          <cell r="F743" t="str">
            <v>BRÁS CUBAS</v>
          </cell>
          <cell r="G743" t="str">
            <v>MOGI DAS CRUZES</v>
          </cell>
          <cell r="H743" t="str">
            <v>SP INT SJC</v>
          </cell>
          <cell r="I743" t="str">
            <v>CP</v>
          </cell>
          <cell r="J743">
            <v>1</v>
          </cell>
          <cell r="K743" t="str">
            <v>DIURNO</v>
          </cell>
          <cell r="L743" t="str">
            <v>A DEFINIR</v>
          </cell>
          <cell r="M743" t="str">
            <v>UBER</v>
          </cell>
          <cell r="N743">
            <v>0.25</v>
          </cell>
        </row>
        <row r="744">
          <cell r="A744" t="str">
            <v>ASI165</v>
          </cell>
          <cell r="B744" t="str">
            <v>ASI</v>
          </cell>
          <cell r="C744">
            <v>165</v>
          </cell>
          <cell r="D744">
            <v>45165</v>
          </cell>
          <cell r="E744" t="str">
            <v xml:space="preserve">AV : HENRIQUE PERES , 1330 </v>
          </cell>
          <cell r="F744" t="str">
            <v>BRÁS CUBAS</v>
          </cell>
          <cell r="G744" t="str">
            <v>MOGI DAS CRUZES</v>
          </cell>
          <cell r="H744" t="str">
            <v>SP INT SJC</v>
          </cell>
          <cell r="I744" t="str">
            <v>T</v>
          </cell>
          <cell r="J744">
            <v>34</v>
          </cell>
          <cell r="K744">
            <v>0</v>
          </cell>
          <cell r="L744" t="str">
            <v>JAÍNE/FELIPE/BRUNA</v>
          </cell>
          <cell r="M744" t="str">
            <v>02 VANS e 01 CARRO</v>
          </cell>
          <cell r="N744">
            <v>0.6875</v>
          </cell>
        </row>
        <row r="745">
          <cell r="A745" t="str">
            <v>ASI144</v>
          </cell>
          <cell r="B745" t="str">
            <v>ASI</v>
          </cell>
          <cell r="C745">
            <v>144</v>
          </cell>
          <cell r="D745">
            <v>45165</v>
          </cell>
          <cell r="E745" t="str">
            <v>AV : ARICANDUVA , 5555</v>
          </cell>
          <cell r="F745" t="str">
            <v>SHOPPING ARICANDUVA</v>
          </cell>
          <cell r="G745" t="str">
            <v>SÃO PAULO</v>
          </cell>
          <cell r="H745" t="str">
            <v>SP LESTE</v>
          </cell>
          <cell r="I745" t="str">
            <v>CP</v>
          </cell>
          <cell r="J745">
            <v>2</v>
          </cell>
          <cell r="K745" t="str">
            <v>DIURNO</v>
          </cell>
          <cell r="L745" t="str">
            <v>GINA</v>
          </cell>
          <cell r="M745" t="str">
            <v>NÃO</v>
          </cell>
          <cell r="N745" t="str">
            <v>NÃO</v>
          </cell>
        </row>
        <row r="746">
          <cell r="A746" t="str">
            <v>ASI144</v>
          </cell>
          <cell r="B746" t="str">
            <v>ASI</v>
          </cell>
          <cell r="C746">
            <v>144</v>
          </cell>
          <cell r="D746">
            <v>45165</v>
          </cell>
          <cell r="E746" t="str">
            <v>AV : ARICANDUVA , 5555</v>
          </cell>
          <cell r="F746" t="str">
            <v>SHOPPING ARICANDUVA</v>
          </cell>
          <cell r="G746" t="str">
            <v>SÃO PAULO</v>
          </cell>
          <cell r="H746" t="str">
            <v>SP LESTE</v>
          </cell>
          <cell r="I746" t="str">
            <v>T</v>
          </cell>
          <cell r="J746">
            <v>68</v>
          </cell>
          <cell r="K746">
            <v>0</v>
          </cell>
          <cell r="L746" t="str">
            <v>PATRÍCIA/LUÍS/LUANA</v>
          </cell>
          <cell r="M746" t="str">
            <v>NÃO</v>
          </cell>
          <cell r="N746" t="str">
            <v>NÃO</v>
          </cell>
        </row>
        <row r="747">
          <cell r="A747" t="str">
            <v>ASI155</v>
          </cell>
          <cell r="B747" t="str">
            <v>ASI</v>
          </cell>
          <cell r="C747">
            <v>155</v>
          </cell>
          <cell r="D747">
            <v>45165</v>
          </cell>
          <cell r="E747" t="str">
            <v>AV : SENADOR TEOTÔNIO VILELA , 2926</v>
          </cell>
          <cell r="F747" t="str">
            <v>CIDADE DUTRA</v>
          </cell>
          <cell r="G747" t="str">
            <v>SÃO PAULO</v>
          </cell>
          <cell r="H747" t="str">
            <v>SP SUL</v>
          </cell>
          <cell r="I747" t="str">
            <v>CP</v>
          </cell>
          <cell r="J747">
            <v>1</v>
          </cell>
          <cell r="K747" t="str">
            <v>DIURNO</v>
          </cell>
          <cell r="L747" t="str">
            <v>ANDRÉ</v>
          </cell>
          <cell r="M747" t="str">
            <v>NÃO</v>
          </cell>
          <cell r="N747" t="str">
            <v>NÃO</v>
          </cell>
        </row>
        <row r="748">
          <cell r="A748" t="str">
            <v>ASI155</v>
          </cell>
          <cell r="B748" t="str">
            <v>ASI</v>
          </cell>
          <cell r="C748">
            <v>155</v>
          </cell>
          <cell r="D748">
            <v>45165</v>
          </cell>
          <cell r="E748" t="str">
            <v>AV : SENADOR TEOTÔNIO VILELA , 2926</v>
          </cell>
          <cell r="F748" t="str">
            <v>CIDADE DUTRA</v>
          </cell>
          <cell r="G748" t="str">
            <v>SÃO PAULO</v>
          </cell>
          <cell r="H748" t="str">
            <v>SP SUL</v>
          </cell>
          <cell r="I748" t="str">
            <v>T</v>
          </cell>
          <cell r="J748">
            <v>44</v>
          </cell>
          <cell r="K748">
            <v>0</v>
          </cell>
          <cell r="L748" t="str">
            <v>VIANA/RUAN/CAMILA</v>
          </cell>
          <cell r="M748" t="str">
            <v>NÃO</v>
          </cell>
          <cell r="N748" t="str">
            <v>NÃO</v>
          </cell>
        </row>
        <row r="749">
          <cell r="A749" t="str">
            <v>SAM4415</v>
          </cell>
          <cell r="B749" t="str">
            <v>SAM</v>
          </cell>
          <cell r="C749">
            <v>4415</v>
          </cell>
          <cell r="D749">
            <v>45165</v>
          </cell>
          <cell r="E749" t="str">
            <v>AV : DR. GASTÃO VIDIGAL , 2345</v>
          </cell>
          <cell r="F749" t="str">
            <v>VILA LEOPOLDINA</v>
          </cell>
          <cell r="G749" t="str">
            <v>SÃO PAULO</v>
          </cell>
          <cell r="H749" t="str">
            <v>SP SUL</v>
          </cell>
          <cell r="I749" t="str">
            <v>CA</v>
          </cell>
          <cell r="J749">
            <v>10</v>
          </cell>
          <cell r="K749">
            <v>0</v>
          </cell>
          <cell r="L749" t="str">
            <v>JUSCELINO/YGOR</v>
          </cell>
          <cell r="M749" t="str">
            <v>NÃO</v>
          </cell>
          <cell r="N749" t="str">
            <v>NÃO</v>
          </cell>
        </row>
        <row r="750">
          <cell r="A750" t="str">
            <v>SVG40</v>
          </cell>
          <cell r="B750" t="str">
            <v>SVG</v>
          </cell>
          <cell r="C750">
            <v>40</v>
          </cell>
          <cell r="D750">
            <v>45165</v>
          </cell>
          <cell r="E750" t="str">
            <v>AV : DR. LAURO CORREA DA SILVA , 4005</v>
          </cell>
          <cell r="F750" t="str">
            <v>RES. VILLA DO SOL</v>
          </cell>
          <cell r="G750" t="str">
            <v>LIMEIRA</v>
          </cell>
          <cell r="H750" t="str">
            <v>SP SUL</v>
          </cell>
          <cell r="I750" t="str">
            <v>APOIO</v>
          </cell>
          <cell r="J750">
            <v>15</v>
          </cell>
          <cell r="K750">
            <v>0</v>
          </cell>
          <cell r="L750" t="str">
            <v>ELAINE</v>
          </cell>
          <cell r="M750" t="str">
            <v>01 VAN</v>
          </cell>
          <cell r="N750">
            <v>0.66666666666666663</v>
          </cell>
        </row>
        <row r="751">
          <cell r="A751" t="str">
            <v/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 t="str">
            <v>Total</v>
          </cell>
          <cell r="J751">
            <v>277</v>
          </cell>
          <cell r="K751">
            <v>313</v>
          </cell>
          <cell r="L751">
            <v>0</v>
          </cell>
          <cell r="M751">
            <v>0</v>
          </cell>
          <cell r="N751">
            <v>0</v>
          </cell>
        </row>
        <row r="752">
          <cell r="A752" t="str">
            <v/>
          </cell>
          <cell r="B752">
            <v>0</v>
          </cell>
          <cell r="C752">
            <v>0</v>
          </cell>
          <cell r="D752">
            <v>0</v>
          </cell>
          <cell r="E752">
            <v>45166</v>
          </cell>
          <cell r="F752" t="str">
            <v>SEGUNDA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A753" t="str">
            <v>FSJ757</v>
          </cell>
          <cell r="B753" t="str">
            <v>FSJ</v>
          </cell>
          <cell r="C753">
            <v>757</v>
          </cell>
          <cell r="D753">
            <v>45166</v>
          </cell>
          <cell r="E753" t="str">
            <v>RUA ULISSES CABRAL , 112</v>
          </cell>
          <cell r="F753" t="str">
            <v>CENTRO - SAP 05</v>
          </cell>
          <cell r="G753" t="str">
            <v>SAPUCAIA DO SUL</v>
          </cell>
          <cell r="H753" t="str">
            <v>PORTO ALEGRE</v>
          </cell>
          <cell r="I753" t="str">
            <v>T</v>
          </cell>
          <cell r="J753">
            <v>9</v>
          </cell>
          <cell r="K753">
            <v>0</v>
          </cell>
          <cell r="L753" t="str">
            <v>PATRINE</v>
          </cell>
          <cell r="M753" t="str">
            <v>NÃO</v>
          </cell>
          <cell r="N753" t="str">
            <v>NÃO</v>
          </cell>
        </row>
        <row r="754">
          <cell r="A754" t="str">
            <v>PEN784</v>
          </cell>
          <cell r="B754" t="str">
            <v>PEN</v>
          </cell>
          <cell r="C754">
            <v>784</v>
          </cell>
          <cell r="D754">
            <v>45166</v>
          </cell>
          <cell r="E754" t="str">
            <v>AV : TUPI , 2425</v>
          </cell>
          <cell r="F754" t="str">
            <v>CENTRO</v>
          </cell>
          <cell r="G754" t="str">
            <v>PATO BRANCO</v>
          </cell>
          <cell r="H754" t="str">
            <v>PR LONDRINA</v>
          </cell>
          <cell r="I754" t="str">
            <v>T</v>
          </cell>
          <cell r="J754">
            <v>10</v>
          </cell>
          <cell r="K754" t="str">
            <v>ROT A</v>
          </cell>
          <cell r="L754" t="str">
            <v>MARIANA</v>
          </cell>
          <cell r="M754" t="str">
            <v>01 VAN</v>
          </cell>
          <cell r="N754" t="str">
            <v>HOTEL</v>
          </cell>
        </row>
        <row r="755">
          <cell r="A755" t="str">
            <v>ASI136</v>
          </cell>
          <cell r="B755" t="str">
            <v>ASI</v>
          </cell>
          <cell r="C755">
            <v>136</v>
          </cell>
          <cell r="D755">
            <v>45166</v>
          </cell>
          <cell r="E755" t="str">
            <v>AV : BRASIL , 2251</v>
          </cell>
          <cell r="F755" t="str">
            <v>SÃO CRISTOVÃO  - SABÃO PORTUGUÊS</v>
          </cell>
          <cell r="G755" t="str">
            <v>RIO DE JANEIRO</v>
          </cell>
          <cell r="H755" t="str">
            <v>RJ</v>
          </cell>
          <cell r="I755" t="str">
            <v>D</v>
          </cell>
          <cell r="J755">
            <v>3</v>
          </cell>
          <cell r="K755">
            <v>0</v>
          </cell>
          <cell r="L755" t="str">
            <v>KLEBER</v>
          </cell>
          <cell r="M755" t="str">
            <v>NÃO</v>
          </cell>
          <cell r="N755" t="str">
            <v>NÃO</v>
          </cell>
        </row>
        <row r="756">
          <cell r="A756" t="str">
            <v>OXX1087836</v>
          </cell>
          <cell r="B756" t="str">
            <v>OXX</v>
          </cell>
          <cell r="C756">
            <v>1087836</v>
          </cell>
          <cell r="D756">
            <v>45166</v>
          </cell>
          <cell r="E756" t="str">
            <v>RUA SANTA MARIA , 265</v>
          </cell>
          <cell r="F756" t="str">
            <v>PONTE SÃO JOÃO</v>
          </cell>
          <cell r="G756" t="str">
            <v>JUNDIAÍ</v>
          </cell>
          <cell r="H756" t="str">
            <v>SP INT CPN</v>
          </cell>
          <cell r="I756" t="str">
            <v>P</v>
          </cell>
          <cell r="J756">
            <v>3</v>
          </cell>
          <cell r="K756" t="str">
            <v>DIURNO</v>
          </cell>
          <cell r="L756" t="str">
            <v>IZABELA/THALIA</v>
          </cell>
          <cell r="M756" t="str">
            <v>UBER</v>
          </cell>
          <cell r="N756">
            <v>0.29166666666666669</v>
          </cell>
        </row>
        <row r="757">
          <cell r="A757" t="str">
            <v>OXX1094932</v>
          </cell>
          <cell r="B757" t="str">
            <v>OXX</v>
          </cell>
          <cell r="C757">
            <v>1094932</v>
          </cell>
          <cell r="D757">
            <v>45166</v>
          </cell>
          <cell r="E757" t="str">
            <v>RUA BARÃO DE JUNDIAÍ , 546</v>
          </cell>
          <cell r="F757" t="str">
            <v>CENTRO - ÁSIA</v>
          </cell>
          <cell r="G757" t="str">
            <v>JUNDIAÍ</v>
          </cell>
          <cell r="H757" t="str">
            <v>SP INT CPN</v>
          </cell>
          <cell r="I757" t="str">
            <v>P</v>
          </cell>
          <cell r="J757">
            <v>3</v>
          </cell>
          <cell r="K757" t="str">
            <v>DIURNO</v>
          </cell>
          <cell r="L757" t="str">
            <v>LETÍCIA/EVA</v>
          </cell>
          <cell r="M757" t="str">
            <v>UBER</v>
          </cell>
          <cell r="N757">
            <v>0.29166666666666669</v>
          </cell>
        </row>
        <row r="758">
          <cell r="A758" t="str">
            <v>OXX1100386</v>
          </cell>
          <cell r="B758" t="str">
            <v>OXX</v>
          </cell>
          <cell r="C758">
            <v>1100386</v>
          </cell>
          <cell r="D758">
            <v>45166</v>
          </cell>
          <cell r="E758" t="str">
            <v>RUA BOA MORTE , 1280</v>
          </cell>
          <cell r="F758" t="str">
            <v>CENTRO - PIRACICABANO</v>
          </cell>
          <cell r="G758" t="str">
            <v>PIRACICABA</v>
          </cell>
          <cell r="H758" t="str">
            <v>SP INT CPN</v>
          </cell>
          <cell r="I758" t="str">
            <v>P</v>
          </cell>
          <cell r="J758">
            <v>3</v>
          </cell>
          <cell r="K758" t="str">
            <v>DIURNO</v>
          </cell>
          <cell r="L758" t="str">
            <v>LEONARDO</v>
          </cell>
          <cell r="M758" t="str">
            <v>UBER</v>
          </cell>
          <cell r="N758">
            <v>0.29166666666666669</v>
          </cell>
        </row>
        <row r="759">
          <cell r="A759" t="str">
            <v>CDG845</v>
          </cell>
          <cell r="B759" t="str">
            <v>CDG</v>
          </cell>
          <cell r="C759">
            <v>845</v>
          </cell>
          <cell r="D759">
            <v>45166</v>
          </cell>
          <cell r="E759" t="str">
            <v>RUA CAMPOS SALES , 725</v>
          </cell>
          <cell r="F759" t="str">
            <v>VILA NOVA</v>
          </cell>
          <cell r="G759" t="str">
            <v>SALTO</v>
          </cell>
          <cell r="H759" t="str">
            <v>SP INT LIMEIRA</v>
          </cell>
          <cell r="I759" t="str">
            <v>T</v>
          </cell>
          <cell r="J759">
            <v>6</v>
          </cell>
          <cell r="K759">
            <v>0</v>
          </cell>
          <cell r="L759" t="str">
            <v>EMERSON</v>
          </cell>
          <cell r="M759" t="str">
            <v>0,5 VAN</v>
          </cell>
          <cell r="N759">
            <v>0.70833333333333337</v>
          </cell>
        </row>
        <row r="760">
          <cell r="A760" t="str">
            <v>CFB329</v>
          </cell>
          <cell r="B760" t="str">
            <v>CFB</v>
          </cell>
          <cell r="C760">
            <v>329</v>
          </cell>
          <cell r="D760">
            <v>45166</v>
          </cell>
          <cell r="E760" t="str">
            <v>RUA CAMPOS SALES , 725</v>
          </cell>
          <cell r="F760" t="str">
            <v>VILA NOVA</v>
          </cell>
          <cell r="G760" t="str">
            <v>SALTO</v>
          </cell>
          <cell r="H760" t="str">
            <v>SP INT LIMEIRA</v>
          </cell>
          <cell r="I760" t="str">
            <v>T</v>
          </cell>
          <cell r="J760">
            <v>17</v>
          </cell>
          <cell r="K760">
            <v>0</v>
          </cell>
          <cell r="L760" t="str">
            <v>GUSTAVO</v>
          </cell>
          <cell r="M760" t="str">
            <v>1,5 VANS</v>
          </cell>
          <cell r="N760">
            <v>0.70833333333333337</v>
          </cell>
        </row>
        <row r="761">
          <cell r="A761" t="str">
            <v>ASI165</v>
          </cell>
          <cell r="B761" t="str">
            <v>ASI</v>
          </cell>
          <cell r="C761">
            <v>165</v>
          </cell>
          <cell r="D761">
            <v>45166</v>
          </cell>
          <cell r="E761" t="str">
            <v xml:space="preserve">AV : HENRIQUE PERES , 1330 </v>
          </cell>
          <cell r="F761" t="str">
            <v>BRÁS CUBAS</v>
          </cell>
          <cell r="G761" t="str">
            <v>MOGI DAS CRUZES</v>
          </cell>
          <cell r="H761" t="str">
            <v>SP INT SJC</v>
          </cell>
          <cell r="I761" t="str">
            <v>D</v>
          </cell>
          <cell r="J761">
            <v>3</v>
          </cell>
          <cell r="K761">
            <v>0</v>
          </cell>
          <cell r="L761" t="str">
            <v>MARCELO</v>
          </cell>
          <cell r="M761" t="str">
            <v>UBER</v>
          </cell>
          <cell r="N761">
            <v>0.79166666666666663</v>
          </cell>
        </row>
        <row r="762">
          <cell r="A762" t="str">
            <v>BSA41</v>
          </cell>
          <cell r="B762" t="str">
            <v>BSA</v>
          </cell>
          <cell r="C762">
            <v>41</v>
          </cell>
          <cell r="D762">
            <v>45166</v>
          </cell>
          <cell r="E762" t="str">
            <v>RUA JOSÉ DE CAMPOS , 930</v>
          </cell>
          <cell r="F762" t="str">
            <v>MORUMBI</v>
          </cell>
          <cell r="G762" t="str">
            <v>SÃO JOSÉ DOS CAMPOS</v>
          </cell>
          <cell r="H762" t="str">
            <v>SP INT SJC</v>
          </cell>
          <cell r="I762" t="str">
            <v>PP</v>
          </cell>
          <cell r="J762">
            <v>10</v>
          </cell>
          <cell r="K762">
            <v>0</v>
          </cell>
          <cell r="L762" t="str">
            <v>JAÍNE/BRUNA</v>
          </cell>
          <cell r="M762" t="str">
            <v>01 VAN</v>
          </cell>
          <cell r="N762">
            <v>0.70833333333333337</v>
          </cell>
        </row>
        <row r="763">
          <cell r="A763" t="str">
            <v>PEN126</v>
          </cell>
          <cell r="B763" t="str">
            <v>PEN</v>
          </cell>
          <cell r="C763">
            <v>126</v>
          </cell>
          <cell r="D763">
            <v>45166</v>
          </cell>
          <cell r="E763" t="str">
            <v>PRAÇA CONS. RODRIGUES ALVES , 193</v>
          </cell>
          <cell r="F763" t="str">
            <v>CENTRO</v>
          </cell>
          <cell r="G763" t="str">
            <v>GUARATINGUETÁ</v>
          </cell>
          <cell r="H763" t="str">
            <v>SP INT SJC</v>
          </cell>
          <cell r="I763" t="str">
            <v>T</v>
          </cell>
          <cell r="J763">
            <v>8</v>
          </cell>
          <cell r="K763">
            <v>0</v>
          </cell>
          <cell r="L763" t="str">
            <v>FELIPE/NATÁLIA</v>
          </cell>
          <cell r="M763" t="str">
            <v>01 VAN</v>
          </cell>
          <cell r="N763">
            <v>0.66666666666666663</v>
          </cell>
        </row>
        <row r="764">
          <cell r="A764" t="str">
            <v>ASI144</v>
          </cell>
          <cell r="B764" t="str">
            <v>ASI</v>
          </cell>
          <cell r="C764">
            <v>144</v>
          </cell>
          <cell r="D764">
            <v>45166</v>
          </cell>
          <cell r="E764" t="str">
            <v>AV : ARICANDUVA , 5555</v>
          </cell>
          <cell r="F764" t="str">
            <v>SHOPPING ARICANDUVA</v>
          </cell>
          <cell r="G764" t="str">
            <v>SÃO PAULO</v>
          </cell>
          <cell r="H764" t="str">
            <v>SP LESTE</v>
          </cell>
          <cell r="I764" t="str">
            <v>D</v>
          </cell>
          <cell r="J764">
            <v>3</v>
          </cell>
          <cell r="K764">
            <v>0</v>
          </cell>
          <cell r="L764" t="str">
            <v>GINA</v>
          </cell>
          <cell r="M764" t="str">
            <v>NÃO</v>
          </cell>
          <cell r="N764" t="str">
            <v>NÃO</v>
          </cell>
        </row>
        <row r="765">
          <cell r="A765" t="str">
            <v>BSA5</v>
          </cell>
          <cell r="B765" t="str">
            <v>BSA</v>
          </cell>
          <cell r="C765">
            <v>5</v>
          </cell>
          <cell r="D765">
            <v>45166</v>
          </cell>
          <cell r="E765" t="str">
            <v>AV : JOÃO DE ANDRADE , 1500</v>
          </cell>
          <cell r="F765" t="str">
            <v>SANTO ANTÔNIO - 24h</v>
          </cell>
          <cell r="G765" t="str">
            <v>OSASCO</v>
          </cell>
          <cell r="H765" t="str">
            <v>SP LESTE</v>
          </cell>
          <cell r="I765" t="str">
            <v>PP</v>
          </cell>
          <cell r="J765">
            <v>5</v>
          </cell>
          <cell r="K765">
            <v>0</v>
          </cell>
          <cell r="L765" t="str">
            <v>CARINA/CHRIS</v>
          </cell>
          <cell r="M765" t="str">
            <v>0,5 VAN</v>
          </cell>
          <cell r="N765">
            <v>0.6875</v>
          </cell>
        </row>
        <row r="766">
          <cell r="A766" t="str">
            <v>BSA9</v>
          </cell>
          <cell r="B766" t="str">
            <v>BSA</v>
          </cell>
          <cell r="C766">
            <v>9</v>
          </cell>
          <cell r="D766">
            <v>45166</v>
          </cell>
          <cell r="E766" t="str">
            <v>RUA JOÃO CARLOS MUNHOZ VAQUEIRO , 1479</v>
          </cell>
          <cell r="F766" t="str">
            <v>JD. NOVO OSASCO</v>
          </cell>
          <cell r="G766" t="str">
            <v>OSASCO</v>
          </cell>
          <cell r="H766" t="str">
            <v>SP LESTE</v>
          </cell>
          <cell r="I766" t="str">
            <v>PP</v>
          </cell>
          <cell r="J766">
            <v>4</v>
          </cell>
          <cell r="K766">
            <v>0</v>
          </cell>
          <cell r="L766" t="str">
            <v>ANTÔNIO</v>
          </cell>
          <cell r="M766" t="str">
            <v>0,5 VAN</v>
          </cell>
          <cell r="N766">
            <v>0.6875</v>
          </cell>
        </row>
        <row r="767">
          <cell r="A767" t="str">
            <v>BSA21</v>
          </cell>
          <cell r="B767" t="str">
            <v>BSA</v>
          </cell>
          <cell r="C767">
            <v>21</v>
          </cell>
          <cell r="D767">
            <v>45166</v>
          </cell>
          <cell r="E767" t="str">
            <v>RUA GEORGINA MOTA MARCHETTI , 94</v>
          </cell>
          <cell r="F767" t="str">
            <v>JD. DAS BANDEIRAS</v>
          </cell>
          <cell r="G767" t="str">
            <v>OSASCO</v>
          </cell>
          <cell r="H767" t="str">
            <v>SP LESTE</v>
          </cell>
          <cell r="I767" t="str">
            <v>PP</v>
          </cell>
          <cell r="J767">
            <v>4</v>
          </cell>
          <cell r="K767">
            <v>0</v>
          </cell>
          <cell r="L767" t="str">
            <v>KAIQUE</v>
          </cell>
          <cell r="M767" t="str">
            <v>0,5 VAN</v>
          </cell>
          <cell r="N767">
            <v>0.6875</v>
          </cell>
        </row>
        <row r="768">
          <cell r="A768" t="str">
            <v>BSA33</v>
          </cell>
          <cell r="B768" t="str">
            <v>BSA</v>
          </cell>
          <cell r="C768">
            <v>33</v>
          </cell>
          <cell r="D768">
            <v>45166</v>
          </cell>
          <cell r="E768" t="str">
            <v>RUA PERNAMBUCANA , 239</v>
          </cell>
          <cell r="F768" t="str">
            <v>CONCEIÇÃO - 24h</v>
          </cell>
          <cell r="G768" t="str">
            <v>OSASCO</v>
          </cell>
          <cell r="H768" t="str">
            <v>SP LESTE</v>
          </cell>
          <cell r="I768" t="str">
            <v>PP</v>
          </cell>
          <cell r="J768">
            <v>5</v>
          </cell>
          <cell r="K768">
            <v>0</v>
          </cell>
          <cell r="L768" t="str">
            <v>ELISABETE</v>
          </cell>
          <cell r="M768" t="str">
            <v>0,5 VAN</v>
          </cell>
          <cell r="N768">
            <v>0.6875</v>
          </cell>
        </row>
        <row r="769">
          <cell r="A769" t="str">
            <v>CFX1027</v>
          </cell>
          <cell r="B769" t="str">
            <v>CFX</v>
          </cell>
          <cell r="C769">
            <v>1027</v>
          </cell>
          <cell r="D769">
            <v>45166</v>
          </cell>
          <cell r="E769" t="str">
            <v>RUA BARÃO DE ITAPETININGA , 146</v>
          </cell>
          <cell r="F769" t="str">
            <v>REPÚBLICA</v>
          </cell>
          <cell r="G769" t="str">
            <v>SÃO PAULO</v>
          </cell>
          <cell r="H769" t="str">
            <v>SP LESTE</v>
          </cell>
          <cell r="I769" t="str">
            <v>T</v>
          </cell>
          <cell r="J769">
            <v>6</v>
          </cell>
          <cell r="K769">
            <v>0</v>
          </cell>
          <cell r="L769" t="str">
            <v>JÉSSICA</v>
          </cell>
          <cell r="M769" t="str">
            <v>NÃO</v>
          </cell>
          <cell r="N769" t="str">
            <v>NÃO</v>
          </cell>
        </row>
        <row r="770">
          <cell r="A770" t="str">
            <v>PMO68</v>
          </cell>
          <cell r="B770" t="str">
            <v>PMO</v>
          </cell>
          <cell r="C770">
            <v>68</v>
          </cell>
          <cell r="D770">
            <v>45166</v>
          </cell>
          <cell r="E770" t="str">
            <v>AV : GENERAL EDGAR FACÓ , 350</v>
          </cell>
          <cell r="F770" t="str">
            <v>PIRITUBA - VILA ARCADIA</v>
          </cell>
          <cell r="G770" t="str">
            <v>SÃO PAULO</v>
          </cell>
          <cell r="H770" t="str">
            <v>SP LESTE</v>
          </cell>
          <cell r="I770" t="str">
            <v>T</v>
          </cell>
          <cell r="J770">
            <v>5</v>
          </cell>
          <cell r="K770">
            <v>0</v>
          </cell>
          <cell r="L770" t="str">
            <v>TAMIRES</v>
          </cell>
          <cell r="M770" t="str">
            <v>NÃO</v>
          </cell>
          <cell r="N770" t="str">
            <v>NÃO</v>
          </cell>
        </row>
        <row r="771">
          <cell r="A771" t="str">
            <v>PRA6</v>
          </cell>
          <cell r="B771" t="str">
            <v>PRA</v>
          </cell>
          <cell r="C771">
            <v>6</v>
          </cell>
          <cell r="D771">
            <v>45166</v>
          </cell>
          <cell r="E771" t="str">
            <v>AV : MARIA LUIZA AMERICANO , 250</v>
          </cell>
          <cell r="F771" t="str">
            <v>ITAQUERA</v>
          </cell>
          <cell r="G771" t="str">
            <v>SÃO PAULO</v>
          </cell>
          <cell r="H771" t="str">
            <v>SP LESTE</v>
          </cell>
          <cell r="I771" t="str">
            <v>T</v>
          </cell>
          <cell r="J771">
            <v>12</v>
          </cell>
          <cell r="K771">
            <v>0</v>
          </cell>
          <cell r="L771" t="str">
            <v>PATRÍCIA/LUÍS</v>
          </cell>
          <cell r="M771" t="str">
            <v>NÃO</v>
          </cell>
          <cell r="N771" t="str">
            <v>NÃO</v>
          </cell>
        </row>
        <row r="772">
          <cell r="A772" t="str">
            <v>SAM4918</v>
          </cell>
          <cell r="B772" t="str">
            <v>SAM</v>
          </cell>
          <cell r="C772">
            <v>4918</v>
          </cell>
          <cell r="D772">
            <v>45166</v>
          </cell>
          <cell r="E772" t="str">
            <v>RUA PADRE ADELINO , 685</v>
          </cell>
          <cell r="F772" t="str">
            <v>BELÉM - RADIAL LESTE</v>
          </cell>
          <cell r="G772" t="str">
            <v>SÃO PAULO</v>
          </cell>
          <cell r="H772" t="str">
            <v>SP LESTE</v>
          </cell>
          <cell r="I772" t="str">
            <v>CA</v>
          </cell>
          <cell r="J772">
            <v>15</v>
          </cell>
          <cell r="K772">
            <v>0</v>
          </cell>
          <cell r="L772" t="str">
            <v>LUANA/MARCELO</v>
          </cell>
          <cell r="M772" t="str">
            <v>NÃO</v>
          </cell>
          <cell r="N772" t="str">
            <v>NÃO</v>
          </cell>
        </row>
        <row r="773">
          <cell r="A773" t="str">
            <v>OXX1088747</v>
          </cell>
          <cell r="B773" t="str">
            <v>OXX</v>
          </cell>
          <cell r="C773">
            <v>1088747</v>
          </cell>
          <cell r="D773">
            <v>45166</v>
          </cell>
          <cell r="E773" t="str">
            <v>PRAÇA DA SÉ , 363</v>
          </cell>
          <cell r="F773" t="str">
            <v>SÉ - ESTAÇÃO</v>
          </cell>
          <cell r="G773" t="str">
            <v>SÃO PAULO</v>
          </cell>
          <cell r="H773" t="str">
            <v>SP LESTE X</v>
          </cell>
          <cell r="I773" t="str">
            <v>P</v>
          </cell>
          <cell r="J773">
            <v>3</v>
          </cell>
          <cell r="K773" t="str">
            <v>DIURNO</v>
          </cell>
          <cell r="L773" t="str">
            <v>GAMA</v>
          </cell>
          <cell r="M773" t="str">
            <v>NÃO</v>
          </cell>
          <cell r="N773" t="str">
            <v>NÃO</v>
          </cell>
        </row>
        <row r="774">
          <cell r="A774" t="str">
            <v>OXX1094428</v>
          </cell>
          <cell r="B774" t="str">
            <v>OXX</v>
          </cell>
          <cell r="C774">
            <v>1094428</v>
          </cell>
          <cell r="D774">
            <v>45166</v>
          </cell>
          <cell r="E774" t="str">
            <v xml:space="preserve">RUA ARTUR PRADO , 489 </v>
          </cell>
          <cell r="F774" t="str">
            <v>BELA VISTA - ARTUR PRADO</v>
          </cell>
          <cell r="G774" t="str">
            <v>SÃO PAULO</v>
          </cell>
          <cell r="H774" t="str">
            <v>SP LESTE X</v>
          </cell>
          <cell r="I774" t="str">
            <v>P</v>
          </cell>
          <cell r="J774">
            <v>3</v>
          </cell>
          <cell r="K774" t="str">
            <v>DIURNO</v>
          </cell>
          <cell r="L774" t="str">
            <v>CÁSSIA</v>
          </cell>
          <cell r="M774" t="str">
            <v>NÃO</v>
          </cell>
          <cell r="N774" t="str">
            <v>NÃO</v>
          </cell>
        </row>
        <row r="775">
          <cell r="A775" t="str">
            <v>OXX1095248</v>
          </cell>
          <cell r="B775" t="str">
            <v>OXX</v>
          </cell>
          <cell r="C775">
            <v>1095248</v>
          </cell>
          <cell r="D775">
            <v>45166</v>
          </cell>
          <cell r="E775" t="str">
            <v>RUA CONS. CRISPINIANO , 394</v>
          </cell>
          <cell r="F775" t="str">
            <v>REPÚBLICA - CRISPINIANO</v>
          </cell>
          <cell r="G775" t="str">
            <v>SÃO PAULO</v>
          </cell>
          <cell r="H775" t="str">
            <v>SP LESTE X</v>
          </cell>
          <cell r="I775" t="str">
            <v>P</v>
          </cell>
          <cell r="J775">
            <v>3</v>
          </cell>
          <cell r="K775" t="str">
            <v>DIURNO</v>
          </cell>
          <cell r="L775" t="str">
            <v>LARISSA</v>
          </cell>
          <cell r="M775" t="str">
            <v>NÃO</v>
          </cell>
          <cell r="N775" t="str">
            <v>NÃO</v>
          </cell>
        </row>
        <row r="776">
          <cell r="A776" t="str">
            <v>OXX1098820</v>
          </cell>
          <cell r="B776" t="str">
            <v>OXX</v>
          </cell>
          <cell r="C776">
            <v>1098820</v>
          </cell>
          <cell r="D776">
            <v>45166</v>
          </cell>
          <cell r="E776" t="str">
            <v>RUA BARTIRA , 224</v>
          </cell>
          <cell r="F776" t="str">
            <v>PERDIZES - YOU</v>
          </cell>
          <cell r="G776" t="str">
            <v>SÃO PAULO</v>
          </cell>
          <cell r="H776" t="str">
            <v>SP LESTE X</v>
          </cell>
          <cell r="I776" t="str">
            <v>P</v>
          </cell>
          <cell r="J776">
            <v>3</v>
          </cell>
          <cell r="K776" t="str">
            <v>DIURNO</v>
          </cell>
          <cell r="L776" t="str">
            <v>JOSÉ WELVYS</v>
          </cell>
          <cell r="M776" t="str">
            <v>NÃO</v>
          </cell>
          <cell r="N776" t="str">
            <v>NÃO</v>
          </cell>
        </row>
        <row r="777">
          <cell r="A777" t="str">
            <v>OXX1098823</v>
          </cell>
          <cell r="B777" t="str">
            <v>OXX</v>
          </cell>
          <cell r="C777">
            <v>1098823</v>
          </cell>
          <cell r="D777">
            <v>45166</v>
          </cell>
          <cell r="E777" t="str">
            <v>RUA MARQUÊS DE ITU , 867</v>
          </cell>
          <cell r="F777" t="str">
            <v>VILA BUARQUE - GLOBAL</v>
          </cell>
          <cell r="G777" t="str">
            <v>SÃO PAULO</v>
          </cell>
          <cell r="H777" t="str">
            <v>SP LESTE X</v>
          </cell>
          <cell r="I777" t="str">
            <v>P</v>
          </cell>
          <cell r="J777">
            <v>3</v>
          </cell>
          <cell r="K777" t="str">
            <v>DIURNO</v>
          </cell>
          <cell r="L777" t="str">
            <v>ANDERSON</v>
          </cell>
          <cell r="M777" t="str">
            <v>NÃO</v>
          </cell>
          <cell r="N777" t="str">
            <v>NÃO</v>
          </cell>
        </row>
        <row r="778">
          <cell r="A778" t="str">
            <v>ASI155</v>
          </cell>
          <cell r="B778" t="str">
            <v>ASI</v>
          </cell>
          <cell r="C778">
            <v>155</v>
          </cell>
          <cell r="D778">
            <v>45166</v>
          </cell>
          <cell r="E778" t="str">
            <v>AV : SENADOR TEOTÔNIO VILELA , 2926</v>
          </cell>
          <cell r="F778" t="str">
            <v>CIDADE DUTRA</v>
          </cell>
          <cell r="G778" t="str">
            <v>SÃO PAULO</v>
          </cell>
          <cell r="H778" t="str">
            <v>SP SUL</v>
          </cell>
          <cell r="I778" t="str">
            <v>D</v>
          </cell>
          <cell r="J778">
            <v>3</v>
          </cell>
          <cell r="K778">
            <v>0</v>
          </cell>
          <cell r="L778" t="str">
            <v>GLEDSON</v>
          </cell>
          <cell r="M778" t="str">
            <v>NÃO</v>
          </cell>
          <cell r="N778" t="str">
            <v>NÃO</v>
          </cell>
        </row>
        <row r="779">
          <cell r="A779" t="str">
            <v>BSA8</v>
          </cell>
          <cell r="B779" t="str">
            <v>BSA</v>
          </cell>
          <cell r="C779">
            <v>8</v>
          </cell>
          <cell r="D779">
            <v>45166</v>
          </cell>
          <cell r="E779" t="str">
            <v>AV : CONCEIÇÃO SAMMARTINO , 291</v>
          </cell>
          <cell r="F779" t="str">
            <v>CENTRO</v>
          </cell>
          <cell r="G779" t="str">
            <v>JANDIRA</v>
          </cell>
          <cell r="H779" t="str">
            <v>SP SUL</v>
          </cell>
          <cell r="I779" t="str">
            <v>PP</v>
          </cell>
          <cell r="J779">
            <v>6</v>
          </cell>
          <cell r="K779">
            <v>0</v>
          </cell>
          <cell r="L779" t="str">
            <v>CAMILA</v>
          </cell>
          <cell r="M779" t="str">
            <v>0,5 VAN</v>
          </cell>
          <cell r="N779">
            <v>0.6875</v>
          </cell>
        </row>
        <row r="780">
          <cell r="A780" t="str">
            <v>BSA18</v>
          </cell>
          <cell r="B780" t="str">
            <v>BSA</v>
          </cell>
          <cell r="C780">
            <v>18</v>
          </cell>
          <cell r="D780">
            <v>45166</v>
          </cell>
          <cell r="E780" t="str">
            <v>AV : ITAVUVU , 4422</v>
          </cell>
          <cell r="F780" t="str">
            <v>JD. SANTA CECÍLIA - 24h</v>
          </cell>
          <cell r="G780" t="str">
            <v>SOROCABA</v>
          </cell>
          <cell r="H780" t="str">
            <v>SP SUL</v>
          </cell>
          <cell r="I780" t="str">
            <v>PP</v>
          </cell>
          <cell r="J780">
            <v>5</v>
          </cell>
          <cell r="K780">
            <v>0</v>
          </cell>
          <cell r="L780" t="str">
            <v>CARLOS</v>
          </cell>
          <cell r="M780" t="str">
            <v>0,5 VAN</v>
          </cell>
          <cell r="N780">
            <v>0.66666666666666663</v>
          </cell>
        </row>
        <row r="781">
          <cell r="A781" t="str">
            <v>BSA20</v>
          </cell>
          <cell r="B781" t="str">
            <v>BSA</v>
          </cell>
          <cell r="C781">
            <v>20</v>
          </cell>
          <cell r="D781">
            <v>45166</v>
          </cell>
          <cell r="E781" t="str">
            <v>RUA NELSON FERREIRA DA COSTA , 636</v>
          </cell>
          <cell r="F781" t="str">
            <v>JD. VITÁPOLIS</v>
          </cell>
          <cell r="G781" t="str">
            <v>ITAPEVI</v>
          </cell>
          <cell r="H781" t="str">
            <v>SP SUL</v>
          </cell>
          <cell r="I781" t="str">
            <v>PP</v>
          </cell>
          <cell r="J781">
            <v>5</v>
          </cell>
          <cell r="K781">
            <v>0</v>
          </cell>
          <cell r="L781" t="str">
            <v>RICARDO</v>
          </cell>
          <cell r="M781" t="str">
            <v>0,5 VAN</v>
          </cell>
          <cell r="N781">
            <v>0.6875</v>
          </cell>
        </row>
        <row r="782">
          <cell r="A782" t="str">
            <v>BSA28</v>
          </cell>
          <cell r="B782" t="str">
            <v>BSA</v>
          </cell>
          <cell r="C782">
            <v>28</v>
          </cell>
          <cell r="D782">
            <v>45166</v>
          </cell>
          <cell r="E782" t="str">
            <v>RUA MONTEIRO LOBATO , 10</v>
          </cell>
          <cell r="F782" t="str">
            <v>JD. JACIRA</v>
          </cell>
          <cell r="G782" t="str">
            <v>ITAPECERICA DA SERRA</v>
          </cell>
          <cell r="H782" t="str">
            <v>SP SUL</v>
          </cell>
          <cell r="I782" t="str">
            <v>PP</v>
          </cell>
          <cell r="J782">
            <v>4</v>
          </cell>
          <cell r="K782">
            <v>0</v>
          </cell>
          <cell r="L782" t="str">
            <v>DEBORA</v>
          </cell>
          <cell r="M782" t="str">
            <v>0,5 VAN</v>
          </cell>
          <cell r="N782">
            <v>0.6875</v>
          </cell>
        </row>
        <row r="783">
          <cell r="A783" t="str">
            <v>BSA29</v>
          </cell>
          <cell r="B783" t="str">
            <v>BSA</v>
          </cell>
          <cell r="C783">
            <v>29</v>
          </cell>
          <cell r="D783">
            <v>45166</v>
          </cell>
          <cell r="E783" t="str">
            <v>RODOVIA JOSÉ SIMÕES LOURO JÚNIOR , 1926</v>
          </cell>
          <cell r="F783" t="str">
            <v>CRISPIM</v>
          </cell>
          <cell r="G783" t="str">
            <v>ITAPECERICA DA SERRA</v>
          </cell>
          <cell r="H783" t="str">
            <v>SP SUL</v>
          </cell>
          <cell r="I783" t="str">
            <v>PP</v>
          </cell>
          <cell r="J783">
            <v>4</v>
          </cell>
          <cell r="K783">
            <v>0</v>
          </cell>
          <cell r="L783" t="str">
            <v>ELAINE</v>
          </cell>
          <cell r="M783" t="str">
            <v>0,5 VAN</v>
          </cell>
          <cell r="N783">
            <v>0.6875</v>
          </cell>
        </row>
        <row r="784">
          <cell r="A784" t="str">
            <v>BSA36</v>
          </cell>
          <cell r="B784" t="str">
            <v>BSA</v>
          </cell>
          <cell r="C784">
            <v>36</v>
          </cell>
          <cell r="D784">
            <v>45166</v>
          </cell>
          <cell r="E784" t="str">
            <v>AV : DOM AGUIRRE , 3125</v>
          </cell>
          <cell r="F784" t="str">
            <v>JD. SANTA ROSÁLIA - 24h</v>
          </cell>
          <cell r="G784" t="str">
            <v>SOROCABA</v>
          </cell>
          <cell r="H784" t="str">
            <v>SP SUL</v>
          </cell>
          <cell r="I784" t="str">
            <v>PP</v>
          </cell>
          <cell r="J784">
            <v>6</v>
          </cell>
          <cell r="K784">
            <v>0</v>
          </cell>
          <cell r="L784" t="str">
            <v>VIANA</v>
          </cell>
          <cell r="M784" t="str">
            <v>0,5 VAN</v>
          </cell>
          <cell r="N784">
            <v>0.66666666666666663</v>
          </cell>
        </row>
        <row r="785">
          <cell r="A785" t="str">
            <v>PMO77</v>
          </cell>
          <cell r="B785" t="str">
            <v>PMO</v>
          </cell>
          <cell r="C785">
            <v>77</v>
          </cell>
          <cell r="D785">
            <v>45166</v>
          </cell>
          <cell r="E785" t="str">
            <v>ESTRADA DAS LÁGRIMAS , 1806</v>
          </cell>
          <cell r="F785" t="str">
            <v>IPIRANGA</v>
          </cell>
          <cell r="G785" t="str">
            <v>SÃO PAULO</v>
          </cell>
          <cell r="H785" t="str">
            <v>SP SUL</v>
          </cell>
          <cell r="I785" t="str">
            <v>T</v>
          </cell>
          <cell r="J785">
            <v>6</v>
          </cell>
          <cell r="K785">
            <v>0</v>
          </cell>
          <cell r="L785" t="str">
            <v>FERNANDO</v>
          </cell>
          <cell r="M785" t="str">
            <v>NÃO</v>
          </cell>
          <cell r="N785" t="str">
            <v>NÃO</v>
          </cell>
        </row>
        <row r="786">
          <cell r="A786" t="str">
            <v>SAM4415</v>
          </cell>
          <cell r="B786" t="str">
            <v>SAM</v>
          </cell>
          <cell r="C786">
            <v>4415</v>
          </cell>
          <cell r="D786">
            <v>45166</v>
          </cell>
          <cell r="E786" t="str">
            <v>AV : DR. GASTÃO VIDIGAL , 2345</v>
          </cell>
          <cell r="F786" t="str">
            <v>VILA LEOPOLDINA</v>
          </cell>
          <cell r="G786" t="str">
            <v>SÃO PAULO</v>
          </cell>
          <cell r="H786" t="str">
            <v>SP SUL</v>
          </cell>
          <cell r="I786" t="str">
            <v>CA</v>
          </cell>
          <cell r="J786">
            <v>10</v>
          </cell>
          <cell r="K786">
            <v>0</v>
          </cell>
          <cell r="L786" t="str">
            <v>JUSCELINO/YGOR</v>
          </cell>
          <cell r="M786" t="str">
            <v>NÃO</v>
          </cell>
          <cell r="N786" t="str">
            <v>NÃO</v>
          </cell>
        </row>
        <row r="787">
          <cell r="A787" t="str">
            <v>STMS305</v>
          </cell>
          <cell r="B787" t="str">
            <v>STM</v>
          </cell>
          <cell r="C787" t="str">
            <v>S305</v>
          </cell>
          <cell r="D787">
            <v>45166</v>
          </cell>
          <cell r="E787" t="str">
            <v>AV : HIGIENÓPOLIS , 618 / 696</v>
          </cell>
          <cell r="F787" t="str">
            <v>SHOPPING HIGIENÓPOLIS</v>
          </cell>
          <cell r="G787" t="str">
            <v>SÃO PAULO</v>
          </cell>
          <cell r="H787" t="str">
            <v>SP SUL</v>
          </cell>
          <cell r="I787" t="str">
            <v>T</v>
          </cell>
          <cell r="J787">
            <v>35</v>
          </cell>
          <cell r="K787">
            <v>0</v>
          </cell>
          <cell r="L787" t="str">
            <v>RUAN</v>
          </cell>
          <cell r="M787" t="str">
            <v>NÃO</v>
          </cell>
          <cell r="N787" t="str">
            <v>NÃO</v>
          </cell>
        </row>
        <row r="788">
          <cell r="A788" t="str">
            <v>OXX1092250</v>
          </cell>
          <cell r="B788" t="str">
            <v>OXX</v>
          </cell>
          <cell r="C788">
            <v>1092250</v>
          </cell>
          <cell r="D788">
            <v>45166</v>
          </cell>
          <cell r="E788" t="str">
            <v>RUA CARDEAL ARCOVERDE , 2432</v>
          </cell>
          <cell r="F788" t="str">
            <v>PINHEIROS - OFFICE</v>
          </cell>
          <cell r="G788" t="str">
            <v>SÃO PAULO</v>
          </cell>
          <cell r="H788" t="str">
            <v>SP SUL X</v>
          </cell>
          <cell r="I788" t="str">
            <v>P</v>
          </cell>
          <cell r="J788">
            <v>3</v>
          </cell>
          <cell r="K788" t="str">
            <v>DIURNO</v>
          </cell>
          <cell r="L788" t="str">
            <v>CLAUDIA</v>
          </cell>
          <cell r="M788" t="str">
            <v>NÃO</v>
          </cell>
          <cell r="N788" t="str">
            <v>NÃO</v>
          </cell>
        </row>
        <row r="789">
          <cell r="A789" t="str">
            <v>OXX1093469</v>
          </cell>
          <cell r="B789" t="str">
            <v>OXX</v>
          </cell>
          <cell r="C789">
            <v>1093469</v>
          </cell>
          <cell r="D789">
            <v>45166</v>
          </cell>
          <cell r="E789" t="str">
            <v>AV : CONS. RODRIGUES ALVES , 625</v>
          </cell>
          <cell r="F789" t="str">
            <v>VILA MARIANA - ALVES</v>
          </cell>
          <cell r="G789" t="str">
            <v>SÃO PAULO</v>
          </cell>
          <cell r="H789" t="str">
            <v>SP SUL X</v>
          </cell>
          <cell r="I789" t="str">
            <v>P</v>
          </cell>
          <cell r="J789">
            <v>3</v>
          </cell>
          <cell r="K789" t="str">
            <v>DIURNO</v>
          </cell>
          <cell r="L789" t="str">
            <v>FLAVIA</v>
          </cell>
          <cell r="M789" t="str">
            <v>NÃO</v>
          </cell>
          <cell r="N789" t="str">
            <v>NÃO</v>
          </cell>
        </row>
        <row r="790">
          <cell r="A790" t="str">
            <v>OXX1094839</v>
          </cell>
          <cell r="B790" t="str">
            <v>OXX</v>
          </cell>
          <cell r="C790">
            <v>1094839</v>
          </cell>
          <cell r="D790">
            <v>45166</v>
          </cell>
          <cell r="E790" t="str">
            <v>AV : ITACIRA , 2962</v>
          </cell>
          <cell r="F790" t="str">
            <v>PLANALTO PAULISTA - AMÉM</v>
          </cell>
          <cell r="G790" t="str">
            <v>SÃO PAULO</v>
          </cell>
          <cell r="H790" t="str">
            <v>SP SUL X</v>
          </cell>
          <cell r="I790" t="str">
            <v>P</v>
          </cell>
          <cell r="J790">
            <v>3</v>
          </cell>
          <cell r="K790" t="str">
            <v>DIURNO</v>
          </cell>
          <cell r="L790" t="str">
            <v>JÉSSICA</v>
          </cell>
          <cell r="M790" t="str">
            <v>NÃO</v>
          </cell>
          <cell r="N790" t="str">
            <v>NÃO</v>
          </cell>
        </row>
        <row r="791">
          <cell r="A791" t="str">
            <v>OXX1096359</v>
          </cell>
          <cell r="B791" t="str">
            <v>OXX</v>
          </cell>
          <cell r="C791">
            <v>1096359</v>
          </cell>
          <cell r="D791">
            <v>45166</v>
          </cell>
          <cell r="E791" t="str">
            <v>AV : DR. RUDGE RAMOS , 369</v>
          </cell>
          <cell r="F791" t="str">
            <v>RUDGE RAMOS</v>
          </cell>
          <cell r="G791" t="str">
            <v>SÃO BERNARDO DO CAMPO</v>
          </cell>
          <cell r="H791" t="str">
            <v>SP SUL X</v>
          </cell>
          <cell r="I791" t="str">
            <v>P</v>
          </cell>
          <cell r="J791">
            <v>3</v>
          </cell>
          <cell r="K791" t="str">
            <v>DIURNO</v>
          </cell>
          <cell r="L791" t="str">
            <v>ANDRÉ</v>
          </cell>
          <cell r="M791" t="str">
            <v>UBER</v>
          </cell>
          <cell r="N791">
            <v>0.3125</v>
          </cell>
        </row>
        <row r="792">
          <cell r="A792" t="str">
            <v>OXX1096368</v>
          </cell>
          <cell r="B792" t="str">
            <v>OXX</v>
          </cell>
          <cell r="C792">
            <v>1096368</v>
          </cell>
          <cell r="D792">
            <v>45166</v>
          </cell>
          <cell r="E792" t="str">
            <v>RUA AGOSTINHO GOMES , 709</v>
          </cell>
          <cell r="F792" t="str">
            <v>IPIRANGA - AGOSTINHO</v>
          </cell>
          <cell r="G792" t="str">
            <v>SÃO PAULO</v>
          </cell>
          <cell r="H792" t="str">
            <v>SP SUL X</v>
          </cell>
          <cell r="I792" t="str">
            <v>P</v>
          </cell>
          <cell r="J792">
            <v>3</v>
          </cell>
          <cell r="K792" t="str">
            <v>DIURNO</v>
          </cell>
          <cell r="L792" t="str">
            <v>NATHALIA</v>
          </cell>
          <cell r="M792" t="str">
            <v>NÃO</v>
          </cell>
          <cell r="N792" t="str">
            <v>NÃO</v>
          </cell>
        </row>
        <row r="793">
          <cell r="A793" t="str">
            <v>OXX1098341</v>
          </cell>
          <cell r="B793" t="str">
            <v>OXX</v>
          </cell>
          <cell r="C793">
            <v>1098341</v>
          </cell>
          <cell r="D793">
            <v>45166</v>
          </cell>
          <cell r="E793" t="str">
            <v>AV : IBIJAÚ , 172</v>
          </cell>
          <cell r="F793" t="str">
            <v>MOEMA - IBIJAÚ</v>
          </cell>
          <cell r="G793" t="str">
            <v>SÃO PAULO</v>
          </cell>
          <cell r="H793" t="str">
            <v>SP SUL X</v>
          </cell>
          <cell r="I793" t="str">
            <v>P</v>
          </cell>
          <cell r="J793">
            <v>3</v>
          </cell>
          <cell r="K793" t="str">
            <v>DIURNO</v>
          </cell>
          <cell r="L793" t="str">
            <v>RAYANE</v>
          </cell>
          <cell r="M793" t="str">
            <v>NÃO</v>
          </cell>
          <cell r="N793" t="str">
            <v>NÃO</v>
          </cell>
        </row>
        <row r="794">
          <cell r="A794" t="str">
            <v/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 t="str">
            <v>Total</v>
          </cell>
          <cell r="J794">
            <v>251</v>
          </cell>
          <cell r="K794">
            <v>339</v>
          </cell>
          <cell r="L794">
            <v>0</v>
          </cell>
          <cell r="M794">
            <v>0</v>
          </cell>
          <cell r="N794">
            <v>0</v>
          </cell>
        </row>
        <row r="795">
          <cell r="A795" t="str">
            <v/>
          </cell>
          <cell r="B795">
            <v>0</v>
          </cell>
          <cell r="C795">
            <v>0</v>
          </cell>
          <cell r="D795">
            <v>0</v>
          </cell>
          <cell r="E795">
            <v>45167</v>
          </cell>
          <cell r="F795" t="str">
            <v>TERÇA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A796" t="str">
            <v>FSJ516</v>
          </cell>
          <cell r="B796" t="str">
            <v>FSJ</v>
          </cell>
          <cell r="C796">
            <v>516</v>
          </cell>
          <cell r="D796">
            <v>45167</v>
          </cell>
          <cell r="E796" t="str">
            <v>RUA BENTO GONÇALVES , 1316</v>
          </cell>
          <cell r="F796" t="str">
            <v>CENTRO - LEO 06</v>
          </cell>
          <cell r="G796" t="str">
            <v>SÃO LEOPOLDO</v>
          </cell>
          <cell r="H796" t="str">
            <v>PORTO ALEGRE</v>
          </cell>
          <cell r="I796" t="str">
            <v>T</v>
          </cell>
          <cell r="J796">
            <v>9</v>
          </cell>
          <cell r="K796">
            <v>0</v>
          </cell>
          <cell r="L796" t="str">
            <v>PATRINE</v>
          </cell>
          <cell r="M796" t="str">
            <v>NÃO</v>
          </cell>
          <cell r="N796" t="str">
            <v>NÃO</v>
          </cell>
        </row>
        <row r="797">
          <cell r="A797" t="str">
            <v>PEN777</v>
          </cell>
          <cell r="B797" t="str">
            <v>PEN</v>
          </cell>
          <cell r="C797">
            <v>777</v>
          </cell>
          <cell r="D797">
            <v>45167</v>
          </cell>
          <cell r="E797" t="str">
            <v>AV : JACOB MACANHAN , 597 / 583</v>
          </cell>
          <cell r="F797" t="str">
            <v>EMILIANO PERNETA</v>
          </cell>
          <cell r="G797" t="str">
            <v>PINHAIS</v>
          </cell>
          <cell r="H797" t="str">
            <v>PR CURITIBA</v>
          </cell>
          <cell r="I797" t="str">
            <v>T</v>
          </cell>
          <cell r="J797">
            <v>8</v>
          </cell>
          <cell r="K797">
            <v>0</v>
          </cell>
          <cell r="L797" t="str">
            <v>HENRIQUE</v>
          </cell>
          <cell r="M797" t="str">
            <v>NÃO</v>
          </cell>
          <cell r="N797" t="str">
            <v>NÃO</v>
          </cell>
        </row>
        <row r="798">
          <cell r="A798" t="str">
            <v>PEN742</v>
          </cell>
          <cell r="B798" t="str">
            <v>PEN</v>
          </cell>
          <cell r="C798">
            <v>742</v>
          </cell>
          <cell r="D798">
            <v>45167</v>
          </cell>
          <cell r="E798" t="str">
            <v>AV : JULIO A. CAVALHEIRO , 655</v>
          </cell>
          <cell r="F798" t="str">
            <v>CENTRO</v>
          </cell>
          <cell r="G798" t="str">
            <v>FRANCISCO BELTRÃO</v>
          </cell>
          <cell r="H798" t="str">
            <v>PR LONDRINA</v>
          </cell>
          <cell r="I798" t="str">
            <v>T</v>
          </cell>
          <cell r="J798">
            <v>10</v>
          </cell>
          <cell r="K798" t="str">
            <v>ROT A</v>
          </cell>
          <cell r="L798" t="str">
            <v>MARIANA</v>
          </cell>
          <cell r="M798" t="str">
            <v>01 VAN</v>
          </cell>
          <cell r="N798" t="str">
            <v>HOTEL</v>
          </cell>
        </row>
        <row r="799">
          <cell r="A799" t="str">
            <v>PEN564</v>
          </cell>
          <cell r="B799" t="str">
            <v>PEN</v>
          </cell>
          <cell r="C799">
            <v>564</v>
          </cell>
          <cell r="D799">
            <v>45167</v>
          </cell>
          <cell r="E799" t="str">
            <v>RUA PRUDENTE DE MORAES , 485</v>
          </cell>
          <cell r="F799" t="str">
            <v>CENTRO</v>
          </cell>
          <cell r="G799" t="str">
            <v>TAQUARITINGA</v>
          </cell>
          <cell r="H799" t="str">
            <v>SP INT BAURU</v>
          </cell>
          <cell r="I799" t="str">
            <v>T</v>
          </cell>
          <cell r="J799">
            <v>5</v>
          </cell>
          <cell r="K799" t="str">
            <v>ROT INT</v>
          </cell>
          <cell r="L799" t="str">
            <v>VICTOR</v>
          </cell>
          <cell r="M799" t="str">
            <v>01 CARRO</v>
          </cell>
          <cell r="N799">
            <v>0.66666666666666663</v>
          </cell>
        </row>
        <row r="800">
          <cell r="A800" t="str">
            <v>OXX1086167</v>
          </cell>
          <cell r="B800" t="str">
            <v>OXX</v>
          </cell>
          <cell r="C800">
            <v>1086167</v>
          </cell>
          <cell r="D800">
            <v>45167</v>
          </cell>
          <cell r="E800" t="str">
            <v>RUA FERREIRA PENTEADO , 981</v>
          </cell>
          <cell r="F800" t="str">
            <v>CENTRO - IRMÃ</v>
          </cell>
          <cell r="G800" t="str">
            <v>CAMPINAS</v>
          </cell>
          <cell r="H800" t="str">
            <v>SP INT CPN</v>
          </cell>
          <cell r="I800" t="str">
            <v>P</v>
          </cell>
          <cell r="J800">
            <v>3</v>
          </cell>
          <cell r="K800" t="str">
            <v>DIURNO</v>
          </cell>
          <cell r="L800" t="str">
            <v>LETÍCIA/EVA</v>
          </cell>
          <cell r="M800" t="str">
            <v>NÃO</v>
          </cell>
          <cell r="N800" t="str">
            <v>NÃO</v>
          </cell>
        </row>
        <row r="801">
          <cell r="A801" t="str">
            <v>OXX1090589</v>
          </cell>
          <cell r="B801" t="str">
            <v>OXX</v>
          </cell>
          <cell r="C801">
            <v>1090589</v>
          </cell>
          <cell r="D801">
            <v>45167</v>
          </cell>
          <cell r="E801" t="str">
            <v>RUA CORONEL QUIRINO , 2008</v>
          </cell>
          <cell r="F801" t="str">
            <v>CENTRO - SAPATARIA</v>
          </cell>
          <cell r="G801" t="str">
            <v>CAMPINAS</v>
          </cell>
          <cell r="H801" t="str">
            <v>SP INT CPN</v>
          </cell>
          <cell r="I801" t="str">
            <v>P</v>
          </cell>
          <cell r="J801">
            <v>3</v>
          </cell>
          <cell r="K801" t="str">
            <v>DIURNO</v>
          </cell>
          <cell r="L801" t="str">
            <v>IZABELA/THALIA</v>
          </cell>
          <cell r="M801" t="str">
            <v>NÃO</v>
          </cell>
          <cell r="N801" t="str">
            <v>NÃO</v>
          </cell>
        </row>
        <row r="802">
          <cell r="A802" t="str">
            <v>OXX1100128</v>
          </cell>
          <cell r="B802" t="str">
            <v>OXX</v>
          </cell>
          <cell r="C802">
            <v>1100128</v>
          </cell>
          <cell r="D802">
            <v>45167</v>
          </cell>
          <cell r="E802" t="str">
            <v>RUA LOUIS PASTEUR , 204</v>
          </cell>
          <cell r="F802" t="str">
            <v>TAQUARAL - GUILHERME CAMPOS</v>
          </cell>
          <cell r="G802" t="str">
            <v>CAMPINAS</v>
          </cell>
          <cell r="H802" t="str">
            <v>SP INT CPN</v>
          </cell>
          <cell r="I802" t="str">
            <v>P</v>
          </cell>
          <cell r="J802">
            <v>3</v>
          </cell>
          <cell r="K802" t="str">
            <v>DIURNO</v>
          </cell>
          <cell r="L802" t="str">
            <v>LEONARDO</v>
          </cell>
          <cell r="M802" t="str">
            <v>NÃO</v>
          </cell>
          <cell r="N802" t="str">
            <v>NÃO</v>
          </cell>
        </row>
        <row r="803">
          <cell r="A803" t="str">
            <v>BSA15</v>
          </cell>
          <cell r="B803" t="str">
            <v>BSA</v>
          </cell>
          <cell r="C803">
            <v>15</v>
          </cell>
          <cell r="D803">
            <v>45167</v>
          </cell>
          <cell r="E803" t="str">
            <v>RUA DO CRUZEIRO , 755</v>
          </cell>
          <cell r="F803" t="str">
            <v>CENTRO</v>
          </cell>
          <cell r="G803" t="str">
            <v>TATUÍ</v>
          </cell>
          <cell r="H803" t="str">
            <v>SP INT LIMEIRA</v>
          </cell>
          <cell r="I803" t="str">
            <v>PP</v>
          </cell>
          <cell r="J803">
            <v>4</v>
          </cell>
          <cell r="K803">
            <v>0</v>
          </cell>
          <cell r="L803" t="str">
            <v>EMERSON</v>
          </cell>
          <cell r="M803" t="str">
            <v>0,5 VAN</v>
          </cell>
          <cell r="N803">
            <v>0.66666666666666663</v>
          </cell>
        </row>
        <row r="804">
          <cell r="A804" t="str">
            <v>BSA16</v>
          </cell>
          <cell r="B804" t="str">
            <v>BSA</v>
          </cell>
          <cell r="C804">
            <v>16</v>
          </cell>
          <cell r="D804">
            <v>45167</v>
          </cell>
          <cell r="E804" t="str">
            <v>RUA PREF. MANOEL LUIZ DA SILVA SÁ , 432</v>
          </cell>
          <cell r="F804" t="str">
            <v>VILA PAULINA ( ATACADO )</v>
          </cell>
          <cell r="G804" t="str">
            <v>TATUÍ</v>
          </cell>
          <cell r="H804" t="str">
            <v>SP INT LIMEIRA</v>
          </cell>
          <cell r="I804" t="str">
            <v>PP</v>
          </cell>
          <cell r="J804">
            <v>6</v>
          </cell>
          <cell r="K804">
            <v>0</v>
          </cell>
          <cell r="L804" t="str">
            <v>GUSTAVO</v>
          </cell>
          <cell r="M804" t="str">
            <v>0,5 VAN</v>
          </cell>
          <cell r="N804">
            <v>0.66666666666666663</v>
          </cell>
        </row>
        <row r="805">
          <cell r="A805" t="str">
            <v>BSA3</v>
          </cell>
          <cell r="B805" t="str">
            <v>BSA</v>
          </cell>
          <cell r="C805">
            <v>3</v>
          </cell>
          <cell r="D805">
            <v>45167</v>
          </cell>
          <cell r="E805" t="str">
            <v>ESTRADA GUARULHOS NAZARÉ , 3055</v>
          </cell>
          <cell r="F805" t="str">
            <v>JD. SÃO JOÃO - 24h</v>
          </cell>
          <cell r="G805" t="str">
            <v>GUARULHOS</v>
          </cell>
          <cell r="H805" t="str">
            <v>SP INT SJC</v>
          </cell>
          <cell r="I805" t="str">
            <v>PP</v>
          </cell>
          <cell r="J805">
            <v>6</v>
          </cell>
          <cell r="K805">
            <v>0</v>
          </cell>
          <cell r="L805" t="str">
            <v>JAÍNE/BRUNA</v>
          </cell>
          <cell r="M805" t="str">
            <v>0,5 VAN</v>
          </cell>
          <cell r="N805">
            <v>0.70833333333333337</v>
          </cell>
        </row>
        <row r="806">
          <cell r="A806" t="str">
            <v>BSA6</v>
          </cell>
          <cell r="B806" t="str">
            <v>BSA</v>
          </cell>
          <cell r="C806">
            <v>6</v>
          </cell>
          <cell r="D806">
            <v>45167</v>
          </cell>
          <cell r="E806" t="str">
            <v>AV : OTÁVIO BRAGA DE MESQUITA , 1960</v>
          </cell>
          <cell r="F806" t="str">
            <v>VILA BARROS - 24h</v>
          </cell>
          <cell r="G806" t="str">
            <v>GUARULHOS</v>
          </cell>
          <cell r="H806" t="str">
            <v>SP INT SJC</v>
          </cell>
          <cell r="I806" t="str">
            <v>PP</v>
          </cell>
          <cell r="J806">
            <v>4</v>
          </cell>
          <cell r="K806">
            <v>0</v>
          </cell>
          <cell r="L806" t="str">
            <v>FELIPE/NATÁLIA</v>
          </cell>
          <cell r="M806" t="str">
            <v>0,5 VAN</v>
          </cell>
          <cell r="N806">
            <v>0.70833333333333337</v>
          </cell>
        </row>
        <row r="807">
          <cell r="A807" t="str">
            <v>BSA4</v>
          </cell>
          <cell r="B807" t="str">
            <v>BSA</v>
          </cell>
          <cell r="C807">
            <v>4</v>
          </cell>
          <cell r="D807">
            <v>45167</v>
          </cell>
          <cell r="E807" t="str">
            <v>RUA CAMPOS SALES , 590</v>
          </cell>
          <cell r="F807" t="str">
            <v>CENTRO - 24h</v>
          </cell>
          <cell r="G807" t="str">
            <v>BARUERI</v>
          </cell>
          <cell r="H807" t="str">
            <v>SP LESTE</v>
          </cell>
          <cell r="I807" t="str">
            <v>PP</v>
          </cell>
          <cell r="J807">
            <v>8</v>
          </cell>
          <cell r="K807">
            <v>0</v>
          </cell>
          <cell r="L807" t="str">
            <v>ELISABETE</v>
          </cell>
          <cell r="M807" t="str">
            <v>0,5 VAN</v>
          </cell>
          <cell r="N807">
            <v>0.6875</v>
          </cell>
        </row>
        <row r="808">
          <cell r="A808" t="str">
            <v>BSA37</v>
          </cell>
          <cell r="B808" t="str">
            <v>BSA</v>
          </cell>
          <cell r="C808">
            <v>37</v>
          </cell>
          <cell r="D808">
            <v>45167</v>
          </cell>
          <cell r="E808" t="str">
            <v>AV : INOCÊNCIO SERÁFICO , 4180</v>
          </cell>
          <cell r="F808" t="str">
            <v>VILA DIRCE - 24h</v>
          </cell>
          <cell r="G808" t="str">
            <v>CARAPICUÍBA</v>
          </cell>
          <cell r="H808" t="str">
            <v>SP LESTE</v>
          </cell>
          <cell r="I808" t="str">
            <v>PP</v>
          </cell>
          <cell r="J808">
            <v>6</v>
          </cell>
          <cell r="K808">
            <v>0</v>
          </cell>
          <cell r="L808" t="str">
            <v>KAIQUE</v>
          </cell>
          <cell r="M808" t="str">
            <v>0,5 VAN</v>
          </cell>
          <cell r="N808">
            <v>0.6875</v>
          </cell>
        </row>
        <row r="809">
          <cell r="A809" t="str">
            <v>BSA39</v>
          </cell>
          <cell r="B809" t="str">
            <v>BSA</v>
          </cell>
          <cell r="C809">
            <v>39</v>
          </cell>
          <cell r="D809">
            <v>45167</v>
          </cell>
          <cell r="E809" t="str">
            <v>RUA ABEL TAVARES , 1149</v>
          </cell>
          <cell r="F809" t="str">
            <v>ERMELINO MATARAZZO</v>
          </cell>
          <cell r="G809" t="str">
            <v>SÃO PAULO</v>
          </cell>
          <cell r="H809" t="str">
            <v>SP LESTE</v>
          </cell>
          <cell r="I809" t="str">
            <v>PP</v>
          </cell>
          <cell r="J809">
            <v>6</v>
          </cell>
          <cell r="K809">
            <v>0</v>
          </cell>
          <cell r="L809" t="str">
            <v>JÉSSICA/PALOMA</v>
          </cell>
          <cell r="M809" t="str">
            <v>NÃO</v>
          </cell>
          <cell r="N809" t="str">
            <v>NÃO</v>
          </cell>
        </row>
        <row r="810">
          <cell r="A810" t="str">
            <v>PMO70</v>
          </cell>
          <cell r="B810" t="str">
            <v>PMO</v>
          </cell>
          <cell r="C810">
            <v>70</v>
          </cell>
          <cell r="D810">
            <v>45167</v>
          </cell>
          <cell r="E810" t="str">
            <v>AV : DEP. CANTÍDIO SAMPAIO , 1056 / 1058</v>
          </cell>
          <cell r="F810" t="str">
            <v>FREGUESIA DO Ó - VILA RICA</v>
          </cell>
          <cell r="G810" t="str">
            <v>SÃO PAULO</v>
          </cell>
          <cell r="H810" t="str">
            <v>SP LESTE</v>
          </cell>
          <cell r="I810" t="str">
            <v>T</v>
          </cell>
          <cell r="J810">
            <v>6</v>
          </cell>
          <cell r="K810">
            <v>0</v>
          </cell>
          <cell r="L810" t="str">
            <v>TAMIRES</v>
          </cell>
          <cell r="M810" t="str">
            <v>NÃO</v>
          </cell>
          <cell r="N810" t="str">
            <v>NÃO</v>
          </cell>
        </row>
        <row r="811">
          <cell r="A811" t="str">
            <v>PRA1</v>
          </cell>
          <cell r="B811" t="str">
            <v>PRA</v>
          </cell>
          <cell r="C811">
            <v>1</v>
          </cell>
          <cell r="D811">
            <v>45167</v>
          </cell>
          <cell r="E811" t="str">
            <v>PRAÇA AMADEU LACERDA , 10</v>
          </cell>
          <cell r="F811" t="str">
            <v>VILA NHOCUNÉ</v>
          </cell>
          <cell r="G811" t="str">
            <v>SÃO PAULO</v>
          </cell>
          <cell r="H811" t="str">
            <v>SP LESTE</v>
          </cell>
          <cell r="I811" t="str">
            <v>T</v>
          </cell>
          <cell r="J811">
            <v>23</v>
          </cell>
          <cell r="K811">
            <v>0</v>
          </cell>
          <cell r="L811" t="str">
            <v>LUÍS/KAUÃ</v>
          </cell>
          <cell r="M811" t="str">
            <v>NÃO</v>
          </cell>
          <cell r="N811" t="str">
            <v>NÃO</v>
          </cell>
        </row>
        <row r="812">
          <cell r="A812" t="str">
            <v>SAM4415</v>
          </cell>
          <cell r="B812" t="str">
            <v>SAM</v>
          </cell>
          <cell r="C812">
            <v>4415</v>
          </cell>
          <cell r="D812">
            <v>45167</v>
          </cell>
          <cell r="E812" t="str">
            <v>AV : DR. GASTÃO VIDIGAL , 2345</v>
          </cell>
          <cell r="F812" t="str">
            <v>VILA LEOPOLDINA</v>
          </cell>
          <cell r="G812" t="str">
            <v>SÃO PAULO</v>
          </cell>
          <cell r="H812" t="str">
            <v>SP LESTE</v>
          </cell>
          <cell r="I812" t="str">
            <v>APOIO</v>
          </cell>
          <cell r="J812">
            <v>15</v>
          </cell>
          <cell r="K812">
            <v>0</v>
          </cell>
          <cell r="L812" t="str">
            <v>PATRÍCIA</v>
          </cell>
          <cell r="M812" t="str">
            <v>NÃO</v>
          </cell>
          <cell r="N812" t="str">
            <v>NÃO</v>
          </cell>
        </row>
        <row r="813">
          <cell r="A813" t="str">
            <v>SAM4918</v>
          </cell>
          <cell r="B813" t="str">
            <v>SAM</v>
          </cell>
          <cell r="C813">
            <v>4918</v>
          </cell>
          <cell r="D813">
            <v>45167</v>
          </cell>
          <cell r="E813" t="str">
            <v>RUA PADRE ADELINO , 685</v>
          </cell>
          <cell r="F813" t="str">
            <v>BELÉM - RADIAL LESTE</v>
          </cell>
          <cell r="G813" t="str">
            <v>SÃO PAULO</v>
          </cell>
          <cell r="H813" t="str">
            <v>SP LESTE</v>
          </cell>
          <cell r="I813" t="str">
            <v>CA</v>
          </cell>
          <cell r="J813">
            <v>15</v>
          </cell>
          <cell r="K813">
            <v>0</v>
          </cell>
          <cell r="L813" t="str">
            <v>LUANA/MARCELO</v>
          </cell>
          <cell r="M813" t="str">
            <v>NÃO</v>
          </cell>
          <cell r="N813" t="str">
            <v>NÃO</v>
          </cell>
        </row>
        <row r="814">
          <cell r="A814" t="str">
            <v>OXX1089854</v>
          </cell>
          <cell r="B814" t="str">
            <v>OXX</v>
          </cell>
          <cell r="C814">
            <v>1089854</v>
          </cell>
          <cell r="D814">
            <v>45167</v>
          </cell>
          <cell r="E814" t="str">
            <v>RUA MAJOR DIOGO , 195</v>
          </cell>
          <cell r="F814" t="str">
            <v>BELA VISTA  - MAJOR DIOGO</v>
          </cell>
          <cell r="G814" t="str">
            <v>SÃO PAULO</v>
          </cell>
          <cell r="H814" t="str">
            <v>SP LESTE X</v>
          </cell>
          <cell r="I814" t="str">
            <v>P</v>
          </cell>
          <cell r="J814">
            <v>3</v>
          </cell>
          <cell r="K814" t="str">
            <v>DIURNO</v>
          </cell>
          <cell r="L814" t="str">
            <v>GAMA</v>
          </cell>
          <cell r="M814" t="str">
            <v>NÃO</v>
          </cell>
          <cell r="N814" t="str">
            <v>NÃO</v>
          </cell>
        </row>
        <row r="815">
          <cell r="A815" t="str">
            <v>OXX1092425</v>
          </cell>
          <cell r="B815" t="str">
            <v>OXX</v>
          </cell>
          <cell r="C815">
            <v>1092425</v>
          </cell>
          <cell r="D815">
            <v>45167</v>
          </cell>
          <cell r="E815" t="str">
            <v>RUA DIREITA , 78</v>
          </cell>
          <cell r="F815" t="str">
            <v>SÉ - RUA DIREITA</v>
          </cell>
          <cell r="G815" t="str">
            <v>SÃO PAULO</v>
          </cell>
          <cell r="H815" t="str">
            <v>SP LESTE X</v>
          </cell>
          <cell r="I815" t="str">
            <v>P</v>
          </cell>
          <cell r="J815">
            <v>3</v>
          </cell>
          <cell r="K815" t="str">
            <v>DIURNO</v>
          </cell>
          <cell r="L815" t="str">
            <v>CÁSSIA</v>
          </cell>
          <cell r="M815" t="str">
            <v>NÃO</v>
          </cell>
          <cell r="N815" t="str">
            <v>NÃO</v>
          </cell>
        </row>
        <row r="816">
          <cell r="A816" t="str">
            <v>OXX1092942</v>
          </cell>
          <cell r="B816" t="str">
            <v>OXX</v>
          </cell>
          <cell r="C816">
            <v>1092942</v>
          </cell>
          <cell r="D816">
            <v>45167</v>
          </cell>
          <cell r="E816" t="str">
            <v>RUA DA CONSOLAÇÃO , 847</v>
          </cell>
          <cell r="F816" t="str">
            <v>CONSOLAÇÃO - GALPÃO</v>
          </cell>
          <cell r="G816" t="str">
            <v>SÃO PAULO</v>
          </cell>
          <cell r="H816" t="str">
            <v>SP LESTE X</v>
          </cell>
          <cell r="I816" t="str">
            <v>P</v>
          </cell>
          <cell r="J816">
            <v>3</v>
          </cell>
          <cell r="K816" t="str">
            <v>DIURNO</v>
          </cell>
          <cell r="L816" t="str">
            <v>LARISSA</v>
          </cell>
          <cell r="M816" t="str">
            <v>NÃO</v>
          </cell>
          <cell r="N816" t="str">
            <v>NÃO</v>
          </cell>
        </row>
        <row r="817">
          <cell r="A817" t="str">
            <v>OXX1092948</v>
          </cell>
          <cell r="B817" t="str">
            <v>OXX</v>
          </cell>
          <cell r="C817">
            <v>1092948</v>
          </cell>
          <cell r="D817">
            <v>45167</v>
          </cell>
          <cell r="E817" t="str">
            <v>RUA DR. BRÁULIO GOMES , 22</v>
          </cell>
          <cell r="F817" t="str">
            <v>REPÚBLICA - DOM JOSÉ GASPAR</v>
          </cell>
          <cell r="G817" t="str">
            <v>SÃO PAULO</v>
          </cell>
          <cell r="H817" t="str">
            <v>SP LESTE X</v>
          </cell>
          <cell r="I817" t="str">
            <v>P</v>
          </cell>
          <cell r="J817">
            <v>3</v>
          </cell>
          <cell r="K817" t="str">
            <v>DIURNO</v>
          </cell>
          <cell r="L817" t="str">
            <v>JOSÉ WELVYS</v>
          </cell>
          <cell r="M817" t="str">
            <v>NÃO</v>
          </cell>
          <cell r="N817" t="str">
            <v>NÃO</v>
          </cell>
        </row>
        <row r="818">
          <cell r="A818" t="str">
            <v>OXX1093604</v>
          </cell>
          <cell r="B818" t="str">
            <v>OXX</v>
          </cell>
          <cell r="C818">
            <v>1093604</v>
          </cell>
          <cell r="D818">
            <v>45167</v>
          </cell>
          <cell r="E818" t="str">
            <v>AV : BRIG. LUÍS ANTÔNIO , 1174</v>
          </cell>
          <cell r="F818" t="str">
            <v>BELA VISTA - MAJOR</v>
          </cell>
          <cell r="G818" t="str">
            <v>SÃO PAULO</v>
          </cell>
          <cell r="H818" t="str">
            <v>SP LESTE X</v>
          </cell>
          <cell r="I818" t="str">
            <v>P</v>
          </cell>
          <cell r="J818">
            <v>3</v>
          </cell>
          <cell r="K818" t="str">
            <v>DIURNO</v>
          </cell>
          <cell r="L818" t="str">
            <v>ANDERSON</v>
          </cell>
          <cell r="M818" t="str">
            <v>NÃO</v>
          </cell>
          <cell r="N818" t="str">
            <v>NÃO</v>
          </cell>
        </row>
        <row r="819">
          <cell r="A819" t="str">
            <v>BOI3</v>
          </cell>
          <cell r="B819" t="str">
            <v>BOI</v>
          </cell>
          <cell r="C819">
            <v>3</v>
          </cell>
          <cell r="D819">
            <v>45167</v>
          </cell>
          <cell r="E819" t="str">
            <v>RUA FRANCISCO INÁCIO SOLANO , 206</v>
          </cell>
          <cell r="F819" t="str">
            <v>CANTINHO DO CÉU</v>
          </cell>
          <cell r="G819" t="str">
            <v>SÃO PAULO</v>
          </cell>
          <cell r="H819" t="str">
            <v>SP SUL</v>
          </cell>
          <cell r="I819" t="str">
            <v>F</v>
          </cell>
          <cell r="J819">
            <v>4</v>
          </cell>
          <cell r="K819">
            <v>0</v>
          </cell>
          <cell r="L819" t="str">
            <v>GLEDSON</v>
          </cell>
          <cell r="M819">
            <v>0</v>
          </cell>
          <cell r="N819">
            <v>0</v>
          </cell>
        </row>
        <row r="820">
          <cell r="A820" t="str">
            <v>BSA19</v>
          </cell>
          <cell r="B820" t="str">
            <v>BSA</v>
          </cell>
          <cell r="C820">
            <v>19</v>
          </cell>
          <cell r="D820">
            <v>45167</v>
          </cell>
          <cell r="E820" t="str">
            <v>RUA COMENDADOR ANTUNES DOS SANTOS , 750</v>
          </cell>
          <cell r="F820" t="str">
            <v>CAPÃO REDONDO</v>
          </cell>
          <cell r="G820" t="str">
            <v>SÃO PAULO</v>
          </cell>
          <cell r="H820" t="str">
            <v>SP SUL</v>
          </cell>
          <cell r="I820" t="str">
            <v>PP</v>
          </cell>
          <cell r="J820">
            <v>5</v>
          </cell>
          <cell r="K820">
            <v>0</v>
          </cell>
          <cell r="L820" t="str">
            <v>FERNANDO</v>
          </cell>
          <cell r="M820" t="str">
            <v>NÃO</v>
          </cell>
          <cell r="N820" t="str">
            <v>NÃO</v>
          </cell>
        </row>
        <row r="821">
          <cell r="A821" t="str">
            <v>BSA25</v>
          </cell>
          <cell r="B821" t="str">
            <v>BSA</v>
          </cell>
          <cell r="C821">
            <v>25</v>
          </cell>
          <cell r="D821">
            <v>45167</v>
          </cell>
          <cell r="E821" t="str">
            <v>RUA CICLADES , 144</v>
          </cell>
          <cell r="F821" t="str">
            <v>VALO VELHO</v>
          </cell>
          <cell r="G821" t="str">
            <v>SÃO PAULO</v>
          </cell>
          <cell r="H821" t="str">
            <v>SP SUL</v>
          </cell>
          <cell r="I821" t="str">
            <v>PP</v>
          </cell>
          <cell r="J821">
            <v>4</v>
          </cell>
          <cell r="K821">
            <v>0</v>
          </cell>
          <cell r="L821" t="str">
            <v>DEBORA</v>
          </cell>
          <cell r="M821" t="str">
            <v>NÃO</v>
          </cell>
          <cell r="N821" t="str">
            <v>NÃO</v>
          </cell>
        </row>
        <row r="822">
          <cell r="A822" t="str">
            <v>BSA35</v>
          </cell>
          <cell r="B822" t="str">
            <v>BSA</v>
          </cell>
          <cell r="C822">
            <v>35</v>
          </cell>
          <cell r="D822">
            <v>45167</v>
          </cell>
          <cell r="E822" t="str">
            <v>AV : COMENDADOR SANT´ANNA , 561</v>
          </cell>
          <cell r="F822" t="str">
            <v>CAPÃO REDONDO - 24h</v>
          </cell>
          <cell r="G822" t="str">
            <v>SÃO PAULO</v>
          </cell>
          <cell r="H822" t="str">
            <v>SP SUL</v>
          </cell>
          <cell r="I822" t="str">
            <v>PP</v>
          </cell>
          <cell r="J822">
            <v>5</v>
          </cell>
          <cell r="K822">
            <v>0</v>
          </cell>
          <cell r="L822" t="str">
            <v>RICARDO</v>
          </cell>
          <cell r="M822" t="str">
            <v>NÃO</v>
          </cell>
          <cell r="N822" t="str">
            <v>NÃO</v>
          </cell>
        </row>
        <row r="823">
          <cell r="A823" t="str">
            <v>BSA38</v>
          </cell>
          <cell r="B823" t="str">
            <v>BSA</v>
          </cell>
          <cell r="C823">
            <v>38</v>
          </cell>
          <cell r="D823">
            <v>45167</v>
          </cell>
          <cell r="E823" t="str">
            <v>ESTRADA DO ALVARENGA , 461</v>
          </cell>
          <cell r="F823" t="str">
            <v>JD. PEDREIRA - 24h</v>
          </cell>
          <cell r="G823" t="str">
            <v>SÃO PAULO</v>
          </cell>
          <cell r="H823" t="str">
            <v>SP SUL</v>
          </cell>
          <cell r="I823" t="str">
            <v>PP</v>
          </cell>
          <cell r="J823">
            <v>6</v>
          </cell>
          <cell r="K823">
            <v>0</v>
          </cell>
          <cell r="L823" t="str">
            <v>CAMILA</v>
          </cell>
          <cell r="M823" t="str">
            <v>NÃO</v>
          </cell>
          <cell r="N823" t="str">
            <v>NÃO</v>
          </cell>
        </row>
        <row r="824">
          <cell r="A824" t="str">
            <v>SAM4415</v>
          </cell>
          <cell r="B824" t="str">
            <v>SAM</v>
          </cell>
          <cell r="C824">
            <v>4415</v>
          </cell>
          <cell r="D824">
            <v>45167</v>
          </cell>
          <cell r="E824" t="str">
            <v>AV : DR. GASTÃO VIDIGAL , 2345</v>
          </cell>
          <cell r="F824" t="str">
            <v>VILA LEOPOLDINA</v>
          </cell>
          <cell r="G824" t="str">
            <v>SÃO PAULO</v>
          </cell>
          <cell r="H824" t="str">
            <v>SP SUL</v>
          </cell>
          <cell r="I824" t="str">
            <v>T</v>
          </cell>
          <cell r="J824">
            <v>30</v>
          </cell>
          <cell r="K824" t="str">
            <v>CA 02 DIAS - APOIO LESTE</v>
          </cell>
          <cell r="L824" t="str">
            <v>VIANA/JUSCELINO/CARLOS</v>
          </cell>
          <cell r="M824" t="str">
            <v>NÃO</v>
          </cell>
          <cell r="N824" t="str">
            <v>NÃO</v>
          </cell>
        </row>
        <row r="825">
          <cell r="A825" t="str">
            <v>STMS901</v>
          </cell>
          <cell r="B825" t="str">
            <v>STM</v>
          </cell>
          <cell r="C825" t="str">
            <v>S901</v>
          </cell>
          <cell r="D825">
            <v>45167</v>
          </cell>
          <cell r="E825" t="str">
            <v>AV : SÃO GUALTER , 903</v>
          </cell>
          <cell r="F825" t="str">
            <v>ALTO PINHEIROS</v>
          </cell>
          <cell r="G825" t="str">
            <v>SÃO PAULO</v>
          </cell>
          <cell r="H825" t="str">
            <v>SP SUL</v>
          </cell>
          <cell r="I825" t="str">
            <v>T</v>
          </cell>
          <cell r="J825">
            <v>38</v>
          </cell>
          <cell r="K825">
            <v>0</v>
          </cell>
          <cell r="L825" t="str">
            <v>RUAN</v>
          </cell>
          <cell r="M825" t="str">
            <v>NÃO</v>
          </cell>
          <cell r="N825" t="str">
            <v>NÃO</v>
          </cell>
        </row>
        <row r="826">
          <cell r="A826" t="str">
            <v>OXX1087814</v>
          </cell>
          <cell r="B826" t="str">
            <v>OXX</v>
          </cell>
          <cell r="C826">
            <v>1087814</v>
          </cell>
          <cell r="D826">
            <v>45167</v>
          </cell>
          <cell r="E826" t="str">
            <v>RUA DES. ELISEU GUILHERME , 50</v>
          </cell>
          <cell r="F826" t="str">
            <v>PARAÍSO - ELISEU GUILHERME</v>
          </cell>
          <cell r="G826" t="str">
            <v>SÃO PAULO</v>
          </cell>
          <cell r="H826" t="str">
            <v>SP SUL X</v>
          </cell>
          <cell r="I826" t="str">
            <v>P</v>
          </cell>
          <cell r="J826">
            <v>3</v>
          </cell>
          <cell r="K826" t="str">
            <v>DIURNO</v>
          </cell>
          <cell r="L826" t="str">
            <v>JÉSSICA</v>
          </cell>
          <cell r="M826" t="str">
            <v>NÃO</v>
          </cell>
          <cell r="N826" t="str">
            <v>NÃO</v>
          </cell>
        </row>
        <row r="827">
          <cell r="A827" t="str">
            <v>OXX1092253</v>
          </cell>
          <cell r="B827" t="str">
            <v>OXX</v>
          </cell>
          <cell r="C827">
            <v>1092253</v>
          </cell>
          <cell r="D827">
            <v>45167</v>
          </cell>
          <cell r="E827" t="str">
            <v>RUA DA CONSOLAÇÃO , 2180</v>
          </cell>
          <cell r="F827" t="str">
            <v>CONSOLAÇÃO - TRUST</v>
          </cell>
          <cell r="G827" t="str">
            <v>SÃO PAULO</v>
          </cell>
          <cell r="H827" t="str">
            <v>SP SUL X</v>
          </cell>
          <cell r="I827" t="str">
            <v>P</v>
          </cell>
          <cell r="J827">
            <v>3</v>
          </cell>
          <cell r="K827" t="str">
            <v>DIURNO</v>
          </cell>
          <cell r="L827" t="str">
            <v>RAYANE</v>
          </cell>
          <cell r="M827" t="str">
            <v>NÃO</v>
          </cell>
          <cell r="N827" t="str">
            <v>NÃO</v>
          </cell>
        </row>
        <row r="828">
          <cell r="A828" t="str">
            <v>OXX1092940</v>
          </cell>
          <cell r="B828" t="str">
            <v>OXX</v>
          </cell>
          <cell r="C828">
            <v>1092940</v>
          </cell>
          <cell r="D828">
            <v>45167</v>
          </cell>
          <cell r="E828" t="str">
            <v>RUA VERGUEIRO , 1255</v>
          </cell>
          <cell r="F828" t="str">
            <v>LIBERDADE - PARAÍSO</v>
          </cell>
          <cell r="G828" t="str">
            <v>SÃO PAULO</v>
          </cell>
          <cell r="H828" t="str">
            <v>SP SUL X</v>
          </cell>
          <cell r="I828" t="str">
            <v>P</v>
          </cell>
          <cell r="J828">
            <v>3</v>
          </cell>
          <cell r="K828" t="str">
            <v>DIURNO</v>
          </cell>
          <cell r="L828" t="str">
            <v>ANDRÉ</v>
          </cell>
          <cell r="M828" t="str">
            <v>NÃO</v>
          </cell>
          <cell r="N828" t="str">
            <v>NÃO</v>
          </cell>
        </row>
        <row r="829">
          <cell r="A829" t="str">
            <v>OXX1093433</v>
          </cell>
          <cell r="B829" t="str">
            <v>OXX</v>
          </cell>
          <cell r="C829">
            <v>1093433</v>
          </cell>
          <cell r="D829">
            <v>45167</v>
          </cell>
          <cell r="E829" t="str">
            <v>RUA LUÍS GÓIS , 1133</v>
          </cell>
          <cell r="F829" t="str">
            <v>MIRANDÓPOLIS - AXIS</v>
          </cell>
          <cell r="G829" t="str">
            <v>SÃO PAULO</v>
          </cell>
          <cell r="H829" t="str">
            <v>SP SUL X</v>
          </cell>
          <cell r="I829" t="str">
            <v>P</v>
          </cell>
          <cell r="J829">
            <v>3</v>
          </cell>
          <cell r="K829" t="str">
            <v>DIURNO</v>
          </cell>
          <cell r="L829" t="str">
            <v>NATHALIA</v>
          </cell>
          <cell r="M829" t="str">
            <v>NÃO</v>
          </cell>
          <cell r="N829" t="str">
            <v>NÃO</v>
          </cell>
        </row>
        <row r="830">
          <cell r="A830" t="str">
            <v>OXX1094960</v>
          </cell>
          <cell r="B830" t="str">
            <v>OXX</v>
          </cell>
          <cell r="C830">
            <v>1094960</v>
          </cell>
          <cell r="D830">
            <v>45167</v>
          </cell>
          <cell r="E830" t="str">
            <v>RUA CERRO CORÁ , 719</v>
          </cell>
          <cell r="F830" t="str">
            <v>LAPA - GRAND</v>
          </cell>
          <cell r="G830" t="str">
            <v>SÃO PAULO</v>
          </cell>
          <cell r="H830" t="str">
            <v>SP SUL X</v>
          </cell>
          <cell r="I830" t="str">
            <v>P</v>
          </cell>
          <cell r="J830">
            <v>3</v>
          </cell>
          <cell r="K830" t="str">
            <v>DIURNO</v>
          </cell>
          <cell r="L830" t="str">
            <v>FLAVIA</v>
          </cell>
          <cell r="M830" t="str">
            <v>NÃO</v>
          </cell>
          <cell r="N830" t="str">
            <v>NÃO</v>
          </cell>
        </row>
        <row r="831">
          <cell r="A831" t="str">
            <v>SHX1095518</v>
          </cell>
          <cell r="B831" t="str">
            <v>SHX</v>
          </cell>
          <cell r="C831">
            <v>1095518</v>
          </cell>
          <cell r="D831">
            <v>45167</v>
          </cell>
          <cell r="E831" t="str">
            <v>ALAMEDA ALBERTO BYINGTON , 21</v>
          </cell>
          <cell r="F831" t="str">
            <v>TAMBORÉ - ITAHYÊ</v>
          </cell>
          <cell r="G831" t="str">
            <v>SANTANA DE PARNAÍBA</v>
          </cell>
          <cell r="H831" t="str">
            <v>SP SUL X</v>
          </cell>
          <cell r="I831" t="str">
            <v>P</v>
          </cell>
          <cell r="J831">
            <v>2</v>
          </cell>
          <cell r="K831" t="str">
            <v>DIURNO</v>
          </cell>
          <cell r="L831" t="str">
            <v>CLAUDIA</v>
          </cell>
          <cell r="M831" t="str">
            <v>UBER</v>
          </cell>
          <cell r="N831">
            <v>0.29166666666666669</v>
          </cell>
        </row>
        <row r="832">
          <cell r="A832" t="str">
            <v/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 t="str">
            <v>Total</v>
          </cell>
          <cell r="J832">
            <v>264</v>
          </cell>
          <cell r="K832">
            <v>326</v>
          </cell>
          <cell r="L832">
            <v>0</v>
          </cell>
          <cell r="M832">
            <v>0</v>
          </cell>
          <cell r="N832">
            <v>0</v>
          </cell>
        </row>
        <row r="833">
          <cell r="A833" t="str">
            <v/>
          </cell>
          <cell r="B833">
            <v>0</v>
          </cell>
          <cell r="C833">
            <v>0</v>
          </cell>
          <cell r="D833">
            <v>0</v>
          </cell>
          <cell r="E833">
            <v>45168</v>
          </cell>
          <cell r="F833" t="str">
            <v>QUARTA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A834" t="str">
            <v>FSJ492</v>
          </cell>
          <cell r="B834" t="str">
            <v>FSJ</v>
          </cell>
          <cell r="C834">
            <v>492</v>
          </cell>
          <cell r="D834">
            <v>45168</v>
          </cell>
          <cell r="E834" t="str">
            <v>AV : FEITORIA , 4585</v>
          </cell>
          <cell r="F834" t="str">
            <v>FEITORIA - LEO 05</v>
          </cell>
          <cell r="G834" t="str">
            <v>SÃO LEOPOLDO</v>
          </cell>
          <cell r="H834" t="str">
            <v>PORTO ALEGRE</v>
          </cell>
          <cell r="I834" t="str">
            <v>T</v>
          </cell>
          <cell r="J834">
            <v>11</v>
          </cell>
          <cell r="K834">
            <v>0</v>
          </cell>
          <cell r="L834" t="str">
            <v>PATRINE</v>
          </cell>
          <cell r="M834" t="str">
            <v>NÃO</v>
          </cell>
          <cell r="N834" t="str">
            <v>NÃO</v>
          </cell>
        </row>
        <row r="835">
          <cell r="A835" t="str">
            <v>PEN780</v>
          </cell>
          <cell r="B835" t="str">
            <v>PEN</v>
          </cell>
          <cell r="C835">
            <v>780</v>
          </cell>
          <cell r="D835">
            <v>45168</v>
          </cell>
          <cell r="E835" t="str">
            <v>PRAÇA BOM JESUS , 154</v>
          </cell>
          <cell r="F835" t="str">
            <v>CENTRO</v>
          </cell>
          <cell r="G835" t="str">
            <v>PALMAS ( PR )</v>
          </cell>
          <cell r="H835" t="str">
            <v>PR LONDRINA</v>
          </cell>
          <cell r="I835" t="str">
            <v>T</v>
          </cell>
          <cell r="J835">
            <v>10</v>
          </cell>
          <cell r="K835" t="str">
            <v>ROT A</v>
          </cell>
          <cell r="L835" t="str">
            <v>MARIANA</v>
          </cell>
          <cell r="M835" t="str">
            <v>01 VAN</v>
          </cell>
          <cell r="N835" t="str">
            <v>HOTEL</v>
          </cell>
        </row>
        <row r="836">
          <cell r="A836" t="str">
            <v>PEN234</v>
          </cell>
          <cell r="B836" t="str">
            <v>PEN</v>
          </cell>
          <cell r="C836">
            <v>234</v>
          </cell>
          <cell r="D836">
            <v>45168</v>
          </cell>
          <cell r="E836" t="str">
            <v>RUA CEL. JOAQUIM ROSA , 29</v>
          </cell>
          <cell r="F836" t="str">
            <v>CENTRO</v>
          </cell>
          <cell r="G836" t="str">
            <v>BATATAIS</v>
          </cell>
          <cell r="H836" t="str">
            <v>SP INT BAURU</v>
          </cell>
          <cell r="I836" t="str">
            <v>T</v>
          </cell>
          <cell r="J836">
            <v>5</v>
          </cell>
          <cell r="K836" t="str">
            <v>ROT INT</v>
          </cell>
          <cell r="L836" t="str">
            <v>VICTOR</v>
          </cell>
          <cell r="M836" t="str">
            <v>01 CARRO</v>
          </cell>
          <cell r="N836" t="str">
            <v>HOTEL</v>
          </cell>
        </row>
        <row r="837">
          <cell r="A837" t="str">
            <v>OXX1088731</v>
          </cell>
          <cell r="B837" t="str">
            <v>OXX</v>
          </cell>
          <cell r="C837">
            <v>1088731</v>
          </cell>
          <cell r="D837">
            <v>45168</v>
          </cell>
          <cell r="E837" t="str">
            <v>AV : MORAES SALES , 667/687 - ED. ARCEL</v>
          </cell>
          <cell r="F837" t="str">
            <v>CENTRO - MORAES SALES</v>
          </cell>
          <cell r="G837" t="str">
            <v>CAMPINAS</v>
          </cell>
          <cell r="H837" t="str">
            <v>SP INT CPN</v>
          </cell>
          <cell r="I837" t="str">
            <v>P</v>
          </cell>
          <cell r="J837">
            <v>3</v>
          </cell>
          <cell r="K837" t="str">
            <v>DIURNO</v>
          </cell>
          <cell r="L837" t="str">
            <v>LETÍCIA/EVA</v>
          </cell>
          <cell r="M837" t="str">
            <v>NÃO</v>
          </cell>
          <cell r="N837" t="str">
            <v>NÃO</v>
          </cell>
        </row>
        <row r="838">
          <cell r="A838" t="str">
            <v>OXX1089674</v>
          </cell>
          <cell r="B838" t="str">
            <v>OXX</v>
          </cell>
          <cell r="C838">
            <v>1089674</v>
          </cell>
          <cell r="D838">
            <v>45168</v>
          </cell>
          <cell r="E838" t="str">
            <v>AV : GOV. PEDRO DE TOLEDO , 1161</v>
          </cell>
          <cell r="F838" t="str">
            <v>BONFIM - GOV. PEDRO</v>
          </cell>
          <cell r="G838" t="str">
            <v>CAMPINAS</v>
          </cell>
          <cell r="H838" t="str">
            <v>SP INT CPN</v>
          </cell>
          <cell r="I838" t="str">
            <v>P</v>
          </cell>
          <cell r="J838">
            <v>3</v>
          </cell>
          <cell r="K838" t="str">
            <v>DIURNO</v>
          </cell>
          <cell r="L838" t="str">
            <v>LEONARDO</v>
          </cell>
          <cell r="M838" t="str">
            <v>NÃO</v>
          </cell>
          <cell r="N838" t="str">
            <v>NÃO</v>
          </cell>
        </row>
        <row r="839">
          <cell r="A839" t="str">
            <v>SHX1093943</v>
          </cell>
          <cell r="B839" t="str">
            <v>SHX</v>
          </cell>
          <cell r="C839">
            <v>1093943</v>
          </cell>
          <cell r="D839">
            <v>45168</v>
          </cell>
          <cell r="E839" t="str">
            <v>AV : DOS IMIGRANTES ITALIANOS , 2187</v>
          </cell>
          <cell r="F839" t="str">
            <v>JD. PACAEMBU - ITALIANOS</v>
          </cell>
          <cell r="G839" t="str">
            <v>JUNDIAÍ</v>
          </cell>
          <cell r="H839" t="str">
            <v>SP INT CPN</v>
          </cell>
          <cell r="I839" t="str">
            <v>P</v>
          </cell>
          <cell r="J839">
            <v>2</v>
          </cell>
          <cell r="K839" t="str">
            <v>DIURNO</v>
          </cell>
          <cell r="L839" t="str">
            <v>IZABELA/THALIA</v>
          </cell>
          <cell r="M839" t="str">
            <v>UBER</v>
          </cell>
          <cell r="N839">
            <v>0.29166666666666669</v>
          </cell>
        </row>
        <row r="840">
          <cell r="A840" t="str">
            <v>BSA12</v>
          </cell>
          <cell r="B840" t="str">
            <v>BSA</v>
          </cell>
          <cell r="C840">
            <v>12</v>
          </cell>
          <cell r="D840">
            <v>45168</v>
          </cell>
          <cell r="E840" t="str">
            <v>AV : DR. SALES GOMES , 347</v>
          </cell>
          <cell r="F840" t="str">
            <v>CENTRO</v>
          </cell>
          <cell r="G840" t="str">
            <v>TATUÍ</v>
          </cell>
          <cell r="H840" t="str">
            <v>SP INT LIMEIRA</v>
          </cell>
          <cell r="I840" t="str">
            <v>PP</v>
          </cell>
          <cell r="J840">
            <v>5</v>
          </cell>
          <cell r="K840">
            <v>0</v>
          </cell>
          <cell r="L840" t="str">
            <v>GUSTAVO</v>
          </cell>
          <cell r="M840" t="str">
            <v>0,5 VAN</v>
          </cell>
          <cell r="N840">
            <v>0.66666666666666663</v>
          </cell>
        </row>
        <row r="841">
          <cell r="A841" t="str">
            <v>BSA14</v>
          </cell>
          <cell r="B841" t="str">
            <v>BSA</v>
          </cell>
          <cell r="C841">
            <v>14</v>
          </cell>
          <cell r="D841">
            <v>45168</v>
          </cell>
          <cell r="E841" t="str">
            <v>RUA VICE-PREFEITO NELSON FIUZA , 32</v>
          </cell>
          <cell r="F841" t="str">
            <v>MORRO GRANDE</v>
          </cell>
          <cell r="G841" t="str">
            <v>TATUÍ</v>
          </cell>
          <cell r="H841" t="str">
            <v>SP INT LIMEIRA</v>
          </cell>
          <cell r="I841" t="str">
            <v>PP</v>
          </cell>
          <cell r="J841">
            <v>4</v>
          </cell>
          <cell r="K841">
            <v>0</v>
          </cell>
          <cell r="L841" t="str">
            <v>EMERSON</v>
          </cell>
          <cell r="M841" t="str">
            <v>0,5 VAN</v>
          </cell>
          <cell r="N841">
            <v>0.66666666666666663</v>
          </cell>
        </row>
        <row r="842">
          <cell r="A842" t="str">
            <v>BSA1</v>
          </cell>
          <cell r="B842" t="str">
            <v>BSA</v>
          </cell>
          <cell r="C842">
            <v>1</v>
          </cell>
          <cell r="D842">
            <v>45168</v>
          </cell>
          <cell r="E842" t="str">
            <v>RUA SANTO ANTÔNIO DO AVENTUREIRO , 258</v>
          </cell>
          <cell r="F842" t="str">
            <v>TABOÃO</v>
          </cell>
          <cell r="G842" t="str">
            <v>GUARULHOS</v>
          </cell>
          <cell r="H842" t="str">
            <v>SP INT SJC</v>
          </cell>
          <cell r="I842" t="str">
            <v>PP</v>
          </cell>
          <cell r="J842">
            <v>6</v>
          </cell>
          <cell r="K842">
            <v>0</v>
          </cell>
          <cell r="L842" t="str">
            <v>JAÍNE</v>
          </cell>
          <cell r="M842" t="str">
            <v>0,5 VAN</v>
          </cell>
          <cell r="N842">
            <v>0.70833333333333337</v>
          </cell>
        </row>
        <row r="843">
          <cell r="A843" t="str">
            <v>BSA2</v>
          </cell>
          <cell r="B843" t="str">
            <v>BSA</v>
          </cell>
          <cell r="C843">
            <v>2</v>
          </cell>
          <cell r="D843">
            <v>45168</v>
          </cell>
          <cell r="E843" t="str">
            <v>RUA JOSÉ GONÇALVES NEVES , 195</v>
          </cell>
          <cell r="F843" t="str">
            <v>JD. GRACINDA</v>
          </cell>
          <cell r="G843" t="str">
            <v>GUARULHOS</v>
          </cell>
          <cell r="H843" t="str">
            <v>SP INT SJC</v>
          </cell>
          <cell r="I843" t="str">
            <v>PP</v>
          </cell>
          <cell r="J843">
            <v>6</v>
          </cell>
          <cell r="K843">
            <v>0</v>
          </cell>
          <cell r="L843" t="str">
            <v>FELIPE</v>
          </cell>
          <cell r="M843" t="str">
            <v>0,5 VAN</v>
          </cell>
          <cell r="N843">
            <v>0.70833333333333337</v>
          </cell>
        </row>
        <row r="844">
          <cell r="A844" t="str">
            <v>PEN122</v>
          </cell>
          <cell r="B844" t="str">
            <v>PEN</v>
          </cell>
          <cell r="C844">
            <v>122</v>
          </cell>
          <cell r="D844">
            <v>45168</v>
          </cell>
          <cell r="E844" t="str">
            <v>AV : DR. JORGE TIBIRIÇÁ , 565</v>
          </cell>
          <cell r="F844" t="str">
            <v>CENTRO</v>
          </cell>
          <cell r="G844" t="str">
            <v>CRUZEIRO</v>
          </cell>
          <cell r="H844" t="str">
            <v>SP INT SJC</v>
          </cell>
          <cell r="I844" t="str">
            <v>T</v>
          </cell>
          <cell r="J844">
            <v>7</v>
          </cell>
          <cell r="K844">
            <v>0</v>
          </cell>
          <cell r="L844" t="str">
            <v>BRUNA</v>
          </cell>
          <cell r="M844" t="str">
            <v>01 VAN</v>
          </cell>
          <cell r="N844">
            <v>0.64583333333333337</v>
          </cell>
        </row>
        <row r="845">
          <cell r="A845" t="str">
            <v>BSA10</v>
          </cell>
          <cell r="B845" t="str">
            <v>BSA</v>
          </cell>
          <cell r="C845">
            <v>10</v>
          </cell>
          <cell r="D845">
            <v>45168</v>
          </cell>
          <cell r="E845" t="str">
            <v>AV : BENEDITO DE ANDRADE , 568</v>
          </cell>
          <cell r="F845" t="str">
            <v>PIRITUBA - 24h</v>
          </cell>
          <cell r="G845" t="str">
            <v>SÃO PAULO</v>
          </cell>
          <cell r="H845" t="str">
            <v>SP LESTE</v>
          </cell>
          <cell r="I845" t="str">
            <v>PP</v>
          </cell>
          <cell r="J845">
            <v>5</v>
          </cell>
          <cell r="K845">
            <v>0</v>
          </cell>
          <cell r="L845" t="str">
            <v>ELISABETE</v>
          </cell>
          <cell r="M845" t="str">
            <v>NÃO</v>
          </cell>
          <cell r="N845" t="str">
            <v>NÃO</v>
          </cell>
        </row>
        <row r="846">
          <cell r="A846" t="str">
            <v>BSA23</v>
          </cell>
          <cell r="B846" t="str">
            <v>BSA</v>
          </cell>
          <cell r="C846">
            <v>23</v>
          </cell>
          <cell r="D846">
            <v>45168</v>
          </cell>
          <cell r="E846" t="str">
            <v>AV : ANTÔNIO MATIAS DE CAMARGO , 512</v>
          </cell>
          <cell r="F846" t="str">
            <v>CENTRO</v>
          </cell>
          <cell r="G846" t="str">
            <v>COTIA</v>
          </cell>
          <cell r="H846" t="str">
            <v>SP LESTE</v>
          </cell>
          <cell r="I846" t="str">
            <v>PP</v>
          </cell>
          <cell r="J846">
            <v>5</v>
          </cell>
          <cell r="K846">
            <v>0</v>
          </cell>
          <cell r="L846" t="str">
            <v>CARINA/CHRIS</v>
          </cell>
          <cell r="M846" t="str">
            <v>0,5 VAN</v>
          </cell>
          <cell r="N846">
            <v>0.66666666666666663</v>
          </cell>
        </row>
        <row r="847">
          <cell r="A847" t="str">
            <v>BSA31</v>
          </cell>
          <cell r="B847" t="str">
            <v>BSA</v>
          </cell>
          <cell r="C847">
            <v>31</v>
          </cell>
          <cell r="D847">
            <v>45168</v>
          </cell>
          <cell r="E847" t="str">
            <v>AV : ROQUE CELESTINO PIRES , 1071</v>
          </cell>
          <cell r="F847" t="str">
            <v>CAUCAIA DO ALTO</v>
          </cell>
          <cell r="G847" t="str">
            <v>COTIA</v>
          </cell>
          <cell r="H847" t="str">
            <v>SP LESTE</v>
          </cell>
          <cell r="I847" t="str">
            <v>PP</v>
          </cell>
          <cell r="J847">
            <v>6</v>
          </cell>
          <cell r="K847">
            <v>0</v>
          </cell>
          <cell r="L847" t="str">
            <v>KAIQUE</v>
          </cell>
          <cell r="M847" t="str">
            <v>0,5 VAN</v>
          </cell>
          <cell r="N847">
            <v>0.66666666666666663</v>
          </cell>
        </row>
        <row r="848">
          <cell r="A848" t="str">
            <v>EAZ1</v>
          </cell>
          <cell r="B848" t="str">
            <v>EAZ</v>
          </cell>
          <cell r="C848">
            <v>1</v>
          </cell>
          <cell r="D848">
            <v>45168</v>
          </cell>
          <cell r="E848" t="str">
            <v>PRAÇA PORTO FERREIRA , 48A</v>
          </cell>
          <cell r="F848" t="str">
            <v>VILA GUILHERMINA</v>
          </cell>
          <cell r="G848" t="str">
            <v>SÃO PAULO</v>
          </cell>
          <cell r="H848" t="str">
            <v>SP LESTE</v>
          </cell>
          <cell r="I848" t="str">
            <v>P</v>
          </cell>
          <cell r="J848">
            <v>26</v>
          </cell>
          <cell r="K848">
            <v>0</v>
          </cell>
          <cell r="L848" t="str">
            <v>PATRÍCIA</v>
          </cell>
          <cell r="M848" t="str">
            <v>NÃO</v>
          </cell>
          <cell r="N848" t="str">
            <v>NÃO</v>
          </cell>
        </row>
        <row r="849">
          <cell r="A849" t="str">
            <v>SAM4918</v>
          </cell>
          <cell r="B849" t="str">
            <v>SAM</v>
          </cell>
          <cell r="C849">
            <v>4918</v>
          </cell>
          <cell r="D849">
            <v>45168</v>
          </cell>
          <cell r="E849" t="str">
            <v>RUA PADRE ADELINO , 685</v>
          </cell>
          <cell r="F849" t="str">
            <v>BELÉM - RADIAL LESTE</v>
          </cell>
          <cell r="G849" t="str">
            <v>SÃO PAULO</v>
          </cell>
          <cell r="H849" t="str">
            <v>SP LESTE</v>
          </cell>
          <cell r="I849" t="str">
            <v>T</v>
          </cell>
          <cell r="J849">
            <v>45</v>
          </cell>
          <cell r="K849" t="str">
            <v>CA 02 DIAS</v>
          </cell>
          <cell r="L849" t="str">
            <v>LUANA/ANTÔNIO</v>
          </cell>
          <cell r="M849" t="str">
            <v>NÃO</v>
          </cell>
          <cell r="N849" t="str">
            <v>NÃO</v>
          </cell>
        </row>
        <row r="850">
          <cell r="A850" t="str">
            <v>OXX1089555</v>
          </cell>
          <cell r="B850" t="str">
            <v>OXX</v>
          </cell>
          <cell r="C850">
            <v>1089555</v>
          </cell>
          <cell r="D850">
            <v>45168</v>
          </cell>
          <cell r="E850" t="str">
            <v>AV : ENG. LUÍS CARLOS BERRINI , 1197</v>
          </cell>
          <cell r="F850" t="str">
            <v>CIDADE MONÇÕES</v>
          </cell>
          <cell r="G850" t="str">
            <v>SÃO PAULO</v>
          </cell>
          <cell r="H850" t="str">
            <v>SP LESTE X</v>
          </cell>
          <cell r="I850" t="str">
            <v>T</v>
          </cell>
          <cell r="J850">
            <v>4</v>
          </cell>
          <cell r="K850" t="str">
            <v>DIURNO</v>
          </cell>
          <cell r="L850" t="str">
            <v>GAMA</v>
          </cell>
          <cell r="M850" t="str">
            <v>NÃO</v>
          </cell>
          <cell r="N850" t="str">
            <v>NÃO</v>
          </cell>
        </row>
        <row r="851">
          <cell r="A851" t="str">
            <v>OXX1094001</v>
          </cell>
          <cell r="B851" t="str">
            <v>OXX</v>
          </cell>
          <cell r="C851">
            <v>1094001</v>
          </cell>
          <cell r="D851">
            <v>45168</v>
          </cell>
          <cell r="E851" t="str">
            <v>RUA SANTA CRUZ , 1673</v>
          </cell>
          <cell r="F851" t="str">
            <v>VILA MARIANA - KING STORE</v>
          </cell>
          <cell r="G851" t="str">
            <v>SÃO PAULO</v>
          </cell>
          <cell r="H851" t="str">
            <v>SP LESTE X</v>
          </cell>
          <cell r="I851" t="str">
            <v>P</v>
          </cell>
          <cell r="J851">
            <v>3</v>
          </cell>
          <cell r="K851" t="str">
            <v>DIURNO</v>
          </cell>
          <cell r="L851" t="str">
            <v>ANDERSON</v>
          </cell>
          <cell r="M851" t="str">
            <v>NÃO</v>
          </cell>
          <cell r="N851" t="str">
            <v>NÃO</v>
          </cell>
        </row>
        <row r="852">
          <cell r="A852" t="str">
            <v>OXX1094803</v>
          </cell>
          <cell r="B852" t="str">
            <v>OXX</v>
          </cell>
          <cell r="C852">
            <v>1094803</v>
          </cell>
          <cell r="D852">
            <v>45168</v>
          </cell>
          <cell r="E852" t="str">
            <v>RUA SÃO JOAQUIM , 610</v>
          </cell>
          <cell r="F852" t="str">
            <v>LIBERDADE - JOAQUIM MOURA</v>
          </cell>
          <cell r="G852" t="str">
            <v>SÃO PAULO</v>
          </cell>
          <cell r="H852" t="str">
            <v>SP LESTE X</v>
          </cell>
          <cell r="I852" t="str">
            <v>P</v>
          </cell>
          <cell r="J852">
            <v>3</v>
          </cell>
          <cell r="K852" t="str">
            <v>DIURNO</v>
          </cell>
          <cell r="L852" t="str">
            <v>ARTHUR</v>
          </cell>
          <cell r="M852" t="str">
            <v>NÃO</v>
          </cell>
          <cell r="N852" t="str">
            <v>NÃO</v>
          </cell>
        </row>
        <row r="853">
          <cell r="A853" t="str">
            <v>OXX1094962</v>
          </cell>
          <cell r="B853" t="str">
            <v>OXX</v>
          </cell>
          <cell r="C853">
            <v>1094962</v>
          </cell>
          <cell r="D853">
            <v>45168</v>
          </cell>
          <cell r="E853" t="str">
            <v>AV : RANGEL PESTANA , 1153</v>
          </cell>
          <cell r="F853" t="str">
            <v>BRÁS - MONSENHOR</v>
          </cell>
          <cell r="G853" t="str">
            <v>SÃO PAULO</v>
          </cell>
          <cell r="H853" t="str">
            <v>SP LESTE X</v>
          </cell>
          <cell r="I853" t="str">
            <v>P</v>
          </cell>
          <cell r="J853">
            <v>3</v>
          </cell>
          <cell r="K853" t="str">
            <v>DIURNO</v>
          </cell>
          <cell r="L853" t="str">
            <v>CÁSSIA</v>
          </cell>
          <cell r="M853" t="str">
            <v>NÃO</v>
          </cell>
          <cell r="N853" t="str">
            <v>NÃO</v>
          </cell>
        </row>
        <row r="854">
          <cell r="A854" t="str">
            <v>OXX1100123</v>
          </cell>
          <cell r="B854" t="str">
            <v>OXX</v>
          </cell>
          <cell r="C854">
            <v>1100123</v>
          </cell>
          <cell r="D854">
            <v>45168</v>
          </cell>
          <cell r="E854" t="str">
            <v>RUA GONÇALO DA CUNHA , 17</v>
          </cell>
          <cell r="F854" t="str">
            <v>VILA MARIANA - GONÇALO</v>
          </cell>
          <cell r="G854" t="str">
            <v>SÃO PAULO</v>
          </cell>
          <cell r="H854" t="str">
            <v>SP LESTE X</v>
          </cell>
          <cell r="I854" t="str">
            <v>P</v>
          </cell>
          <cell r="J854">
            <v>3</v>
          </cell>
          <cell r="K854" t="str">
            <v>DIURNO</v>
          </cell>
          <cell r="L854" t="str">
            <v>LARISSA</v>
          </cell>
          <cell r="M854" t="str">
            <v>NÃO</v>
          </cell>
          <cell r="N854" t="str">
            <v>NÃO</v>
          </cell>
        </row>
        <row r="855">
          <cell r="A855" t="str">
            <v>OXX1100374</v>
          </cell>
          <cell r="B855" t="str">
            <v>OXX</v>
          </cell>
          <cell r="C855">
            <v>1100374</v>
          </cell>
          <cell r="D855">
            <v>45168</v>
          </cell>
          <cell r="E855" t="str">
            <v>RUA BARÃO DE TEFÉ , 75</v>
          </cell>
          <cell r="F855" t="str">
            <v>ÁGUA BRANCA - EXPLOSÃO</v>
          </cell>
          <cell r="G855" t="str">
            <v>SÃO PAULO</v>
          </cell>
          <cell r="H855" t="str">
            <v>SP LESTE X</v>
          </cell>
          <cell r="I855" t="str">
            <v>P</v>
          </cell>
          <cell r="J855">
            <v>3</v>
          </cell>
          <cell r="K855" t="str">
            <v>DIURNO</v>
          </cell>
          <cell r="L855" t="str">
            <v>JOSÉ WELVYS</v>
          </cell>
          <cell r="M855" t="str">
            <v>NÃO</v>
          </cell>
          <cell r="N855" t="str">
            <v>NÃO</v>
          </cell>
        </row>
        <row r="856">
          <cell r="A856" t="str">
            <v>BOI3</v>
          </cell>
          <cell r="B856" t="str">
            <v>BOI</v>
          </cell>
          <cell r="C856">
            <v>3</v>
          </cell>
          <cell r="D856">
            <v>45168</v>
          </cell>
          <cell r="E856" t="str">
            <v>RUA FRANCISCO INÁCIO SOLANO , 206</v>
          </cell>
          <cell r="F856" t="str">
            <v>CANTINHO DO CÉU</v>
          </cell>
          <cell r="G856" t="str">
            <v>SÃO PAULO</v>
          </cell>
          <cell r="H856" t="str">
            <v>SP SUL</v>
          </cell>
          <cell r="I856" t="str">
            <v>CA</v>
          </cell>
          <cell r="J856">
            <v>4</v>
          </cell>
          <cell r="K856" t="str">
            <v>DIURNO</v>
          </cell>
          <cell r="L856" t="str">
            <v>GLEDSON</v>
          </cell>
          <cell r="M856" t="str">
            <v>NÃO</v>
          </cell>
          <cell r="N856" t="str">
            <v>NÃO</v>
          </cell>
        </row>
        <row r="857">
          <cell r="A857" t="str">
            <v>BOI3</v>
          </cell>
          <cell r="B857" t="str">
            <v>BOI</v>
          </cell>
          <cell r="C857">
            <v>3</v>
          </cell>
          <cell r="D857">
            <v>45168</v>
          </cell>
          <cell r="E857" t="str">
            <v>RUA FRANCISCO INÁCIO SOLANO , 206</v>
          </cell>
          <cell r="F857" t="str">
            <v>CANTINHO DO CÉU</v>
          </cell>
          <cell r="G857" t="str">
            <v>SÃO PAULO</v>
          </cell>
          <cell r="H857" t="str">
            <v>SP SUL</v>
          </cell>
          <cell r="I857" t="str">
            <v>T</v>
          </cell>
          <cell r="J857">
            <v>30</v>
          </cell>
          <cell r="K857">
            <v>0</v>
          </cell>
          <cell r="L857" t="str">
            <v>VIANA/TODOS</v>
          </cell>
          <cell r="M857" t="str">
            <v>NÃO</v>
          </cell>
          <cell r="N857" t="str">
            <v>NÃO</v>
          </cell>
        </row>
        <row r="858">
          <cell r="A858" t="str">
            <v>BSA11</v>
          </cell>
          <cell r="B858" t="str">
            <v>BSA</v>
          </cell>
          <cell r="C858">
            <v>11</v>
          </cell>
          <cell r="D858">
            <v>45168</v>
          </cell>
          <cell r="E858" t="str">
            <v>AV : ENG. HEITOR ANTÔNIO EIRAS GARCIA , 789</v>
          </cell>
          <cell r="F858" t="str">
            <v>BUTANTÃ - 24h</v>
          </cell>
          <cell r="G858" t="str">
            <v>SÃO PAULO</v>
          </cell>
          <cell r="H858" t="str">
            <v>SP SUL</v>
          </cell>
          <cell r="I858" t="str">
            <v>PP</v>
          </cell>
          <cell r="J858">
            <v>5</v>
          </cell>
          <cell r="K858">
            <v>0</v>
          </cell>
          <cell r="L858" t="str">
            <v>FERNANDO</v>
          </cell>
          <cell r="M858" t="str">
            <v>NÃO</v>
          </cell>
          <cell r="N858" t="str">
            <v>NÃO</v>
          </cell>
        </row>
        <row r="859">
          <cell r="A859" t="str">
            <v>BSA24</v>
          </cell>
          <cell r="B859" t="str">
            <v>BSA</v>
          </cell>
          <cell r="C859">
            <v>24</v>
          </cell>
          <cell r="D859">
            <v>45168</v>
          </cell>
          <cell r="E859" t="str">
            <v>RODOVIA RAPOSO TAVARES , 8450 - ZONA OESTE</v>
          </cell>
          <cell r="F859" t="str">
            <v>JD. BOA VISTA - 24h</v>
          </cell>
          <cell r="G859" t="str">
            <v>SÃO PAULO</v>
          </cell>
          <cell r="H859" t="str">
            <v>SP SUL</v>
          </cell>
          <cell r="I859" t="str">
            <v>PP</v>
          </cell>
          <cell r="J859">
            <v>7</v>
          </cell>
          <cell r="K859">
            <v>0</v>
          </cell>
          <cell r="L859" t="str">
            <v>CAMILA</v>
          </cell>
          <cell r="M859" t="str">
            <v>NÃO</v>
          </cell>
          <cell r="N859" t="str">
            <v>NÃO</v>
          </cell>
        </row>
        <row r="860">
          <cell r="A860" t="str">
            <v>BSA26</v>
          </cell>
          <cell r="B860" t="str">
            <v>BSA</v>
          </cell>
          <cell r="C860">
            <v>26</v>
          </cell>
          <cell r="D860">
            <v>45168</v>
          </cell>
          <cell r="E860" t="str">
            <v>AV : ENG. HEITOR ANTÔNIO EIRAS GARCIA , 4592</v>
          </cell>
          <cell r="F860" t="str">
            <v>BUTANTÃ - JD. MONTE BELO</v>
          </cell>
          <cell r="G860" t="str">
            <v>SÃO PAULO</v>
          </cell>
          <cell r="H860" t="str">
            <v>SP SUL</v>
          </cell>
          <cell r="I860" t="str">
            <v>PP</v>
          </cell>
          <cell r="J860">
            <v>5</v>
          </cell>
          <cell r="K860">
            <v>0</v>
          </cell>
          <cell r="L860" t="str">
            <v>DEBORA</v>
          </cell>
          <cell r="M860" t="str">
            <v>NÃO</v>
          </cell>
          <cell r="N860" t="str">
            <v>NÃO</v>
          </cell>
        </row>
        <row r="861">
          <cell r="A861" t="str">
            <v>BSA40</v>
          </cell>
          <cell r="B861" t="str">
            <v>BSA</v>
          </cell>
          <cell r="C861">
            <v>40</v>
          </cell>
          <cell r="D861">
            <v>45168</v>
          </cell>
          <cell r="E861" t="str">
            <v>ESTRADA ITAPECERICA - CAMPO LIMPO , 2083</v>
          </cell>
          <cell r="F861" t="str">
            <v>JD. PRES. KENNEDY - 24h</v>
          </cell>
          <cell r="G861" t="str">
            <v>EMBU DAS ARTES</v>
          </cell>
          <cell r="H861" t="str">
            <v>SP SUL</v>
          </cell>
          <cell r="I861" t="str">
            <v>PP</v>
          </cell>
          <cell r="J861">
            <v>7</v>
          </cell>
          <cell r="K861">
            <v>0</v>
          </cell>
          <cell r="L861" t="str">
            <v>ELAINE</v>
          </cell>
          <cell r="M861" t="str">
            <v>01 VAN</v>
          </cell>
          <cell r="N861">
            <v>0.6875</v>
          </cell>
        </row>
        <row r="862">
          <cell r="A862" t="str">
            <v>STMS501</v>
          </cell>
          <cell r="B862" t="str">
            <v>STM</v>
          </cell>
          <cell r="C862" t="str">
            <v>S501</v>
          </cell>
          <cell r="D862">
            <v>45168</v>
          </cell>
          <cell r="E862" t="str">
            <v>AV : COMENDADOR ADIBO ARES , 275</v>
          </cell>
          <cell r="F862" t="str">
            <v>MORUMBI</v>
          </cell>
          <cell r="G862" t="str">
            <v>SÃO PAULO</v>
          </cell>
          <cell r="H862" t="str">
            <v>SP SUL</v>
          </cell>
          <cell r="I862" t="str">
            <v>T</v>
          </cell>
          <cell r="J862">
            <v>32</v>
          </cell>
          <cell r="K862">
            <v>0</v>
          </cell>
          <cell r="L862" t="str">
            <v>RUAN</v>
          </cell>
          <cell r="M862" t="str">
            <v>NÃO</v>
          </cell>
          <cell r="N862" t="str">
            <v>NÃO</v>
          </cell>
        </row>
        <row r="863">
          <cell r="A863" t="str">
            <v>OXX1089555</v>
          </cell>
          <cell r="B863" t="str">
            <v>OXX</v>
          </cell>
          <cell r="C863">
            <v>1089555</v>
          </cell>
          <cell r="D863">
            <v>45168</v>
          </cell>
          <cell r="E863" t="str">
            <v>AV : ENG. LUÍS CARLOS BERRINI , 1197</v>
          </cell>
          <cell r="F863" t="str">
            <v>CIDADE MONÇÕES</v>
          </cell>
          <cell r="G863" t="str">
            <v>SÃO PAULO</v>
          </cell>
          <cell r="H863" t="str">
            <v>SP SUL X</v>
          </cell>
          <cell r="I863" t="str">
            <v>P</v>
          </cell>
          <cell r="J863">
            <v>3</v>
          </cell>
          <cell r="K863" t="str">
            <v>DIURNO</v>
          </cell>
          <cell r="L863" t="str">
            <v>FLAVIA</v>
          </cell>
          <cell r="M863" t="str">
            <v>NÃO</v>
          </cell>
          <cell r="N863" t="str">
            <v>NÃO</v>
          </cell>
        </row>
        <row r="864">
          <cell r="A864" t="str">
            <v>OXX1094327</v>
          </cell>
          <cell r="B864" t="str">
            <v>OXX</v>
          </cell>
          <cell r="C864">
            <v>1094327</v>
          </cell>
          <cell r="D864">
            <v>45168</v>
          </cell>
          <cell r="E864" t="str">
            <v>AV : MIGUEL ESTEFANO ,  161</v>
          </cell>
          <cell r="F864" t="str">
            <v>SAÚDE - SANTA AMÁLIA</v>
          </cell>
          <cell r="G864" t="str">
            <v>SÃO PAULO</v>
          </cell>
          <cell r="H864" t="str">
            <v>SP SUL X</v>
          </cell>
          <cell r="I864" t="str">
            <v>P</v>
          </cell>
          <cell r="J864">
            <v>3</v>
          </cell>
          <cell r="K864" t="str">
            <v>DIURNO</v>
          </cell>
          <cell r="L864" t="str">
            <v>ANDRÉ</v>
          </cell>
          <cell r="M864" t="str">
            <v>NÃO</v>
          </cell>
          <cell r="N864" t="str">
            <v>NÃO</v>
          </cell>
        </row>
        <row r="865">
          <cell r="A865" t="str">
            <v>OXX1094405</v>
          </cell>
          <cell r="B865" t="str">
            <v>OXX</v>
          </cell>
          <cell r="C865">
            <v>1094405</v>
          </cell>
          <cell r="D865">
            <v>45168</v>
          </cell>
          <cell r="E865" t="str">
            <v>RUA ARTUR DE AZEVEDO , 1508</v>
          </cell>
          <cell r="F865" t="str">
            <v>PINHEIROS - ARTUR</v>
          </cell>
          <cell r="G865" t="str">
            <v>SÃO PAULO</v>
          </cell>
          <cell r="H865" t="str">
            <v>SP SUL X</v>
          </cell>
          <cell r="I865" t="str">
            <v>P</v>
          </cell>
          <cell r="J865">
            <v>3</v>
          </cell>
          <cell r="K865" t="str">
            <v>DIURNO</v>
          </cell>
          <cell r="L865" t="str">
            <v>RAYANE</v>
          </cell>
          <cell r="M865" t="str">
            <v>NÃO</v>
          </cell>
          <cell r="N865" t="str">
            <v>NÃO</v>
          </cell>
        </row>
        <row r="866">
          <cell r="A866" t="str">
            <v>OXX1095189</v>
          </cell>
          <cell r="B866" t="str">
            <v>OXX</v>
          </cell>
          <cell r="C866">
            <v>1095189</v>
          </cell>
          <cell r="D866">
            <v>45168</v>
          </cell>
          <cell r="E866" t="str">
            <v>RUA FIANDEIRAS , 219</v>
          </cell>
          <cell r="F866" t="str">
            <v>VILA OLÍMPIA - FIANDEIRAS</v>
          </cell>
          <cell r="G866" t="str">
            <v>SÃO PAULO</v>
          </cell>
          <cell r="H866" t="str">
            <v>SP SUL X</v>
          </cell>
          <cell r="I866" t="str">
            <v>P</v>
          </cell>
          <cell r="J866">
            <v>3</v>
          </cell>
          <cell r="K866" t="str">
            <v>DIURNO</v>
          </cell>
          <cell r="L866" t="str">
            <v>JÉSSICA</v>
          </cell>
          <cell r="M866" t="str">
            <v>NÃO</v>
          </cell>
          <cell r="N866" t="str">
            <v>NÃO</v>
          </cell>
        </row>
        <row r="867">
          <cell r="A867" t="str">
            <v>OXX1095383</v>
          </cell>
          <cell r="B867" t="str">
            <v>OXX</v>
          </cell>
          <cell r="C867">
            <v>1095383</v>
          </cell>
          <cell r="D867">
            <v>45168</v>
          </cell>
          <cell r="E867" t="str">
            <v>RUA MARCOS LOPES , 153</v>
          </cell>
          <cell r="F867" t="str">
            <v>VILA NOVA CONCEIÇÃO - APRAZÍVEL</v>
          </cell>
          <cell r="G867" t="str">
            <v>SÃO PAULO</v>
          </cell>
          <cell r="H867" t="str">
            <v>SP SUL X</v>
          </cell>
          <cell r="I867" t="str">
            <v>P</v>
          </cell>
          <cell r="J867">
            <v>3</v>
          </cell>
          <cell r="K867" t="str">
            <v>DIURNO</v>
          </cell>
          <cell r="L867" t="str">
            <v>NATHALIA</v>
          </cell>
          <cell r="M867" t="str">
            <v>NÃO</v>
          </cell>
          <cell r="N867" t="str">
            <v>NÃO</v>
          </cell>
        </row>
        <row r="868">
          <cell r="A868" t="str">
            <v>SHX1090047</v>
          </cell>
          <cell r="B868" t="str">
            <v>SHX</v>
          </cell>
          <cell r="C868">
            <v>1090047</v>
          </cell>
          <cell r="D868">
            <v>45168</v>
          </cell>
          <cell r="E868" t="str">
            <v>AV : ATLÂNTICA , 6551</v>
          </cell>
          <cell r="F868" t="str">
            <v>PLANALTO - AVATAR</v>
          </cell>
          <cell r="G868" t="str">
            <v>SÃO PAULO</v>
          </cell>
          <cell r="H868" t="str">
            <v>SP SUL X</v>
          </cell>
          <cell r="I868" t="str">
            <v>P</v>
          </cell>
          <cell r="J868">
            <v>2</v>
          </cell>
          <cell r="K868" t="str">
            <v>DIURNO</v>
          </cell>
          <cell r="L868" t="str">
            <v>CLAUDIA</v>
          </cell>
          <cell r="M868" t="str">
            <v>NÃO</v>
          </cell>
          <cell r="N868" t="str">
            <v>NÃO</v>
          </cell>
        </row>
        <row r="869">
          <cell r="A869" t="str">
            <v/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 t="str">
            <v>Total</v>
          </cell>
          <cell r="J869">
            <v>275</v>
          </cell>
          <cell r="K869">
            <v>315</v>
          </cell>
          <cell r="L869">
            <v>0</v>
          </cell>
          <cell r="M869">
            <v>0</v>
          </cell>
          <cell r="N869">
            <v>0</v>
          </cell>
        </row>
        <row r="870">
          <cell r="A870" t="str">
            <v/>
          </cell>
          <cell r="B870">
            <v>0</v>
          </cell>
          <cell r="C870">
            <v>0</v>
          </cell>
          <cell r="D870">
            <v>0</v>
          </cell>
          <cell r="E870">
            <v>45169</v>
          </cell>
          <cell r="F870" t="str">
            <v>QUINTA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A871" t="str">
            <v>FSJ1114</v>
          </cell>
          <cell r="B871" t="str">
            <v>FSJ</v>
          </cell>
          <cell r="C871">
            <v>1114</v>
          </cell>
          <cell r="D871">
            <v>45169</v>
          </cell>
          <cell r="E871" t="str">
            <v>AV : JUSTINO CAMBOIM , 833</v>
          </cell>
          <cell r="F871" t="str">
            <v>CAMBOIM - SAP 08</v>
          </cell>
          <cell r="G871" t="str">
            <v>SAPUCAIA DO SUL</v>
          </cell>
          <cell r="H871" t="str">
            <v>PORTO ALEGRE</v>
          </cell>
          <cell r="I871" t="str">
            <v>T</v>
          </cell>
          <cell r="J871">
            <v>10</v>
          </cell>
          <cell r="K871">
            <v>0</v>
          </cell>
          <cell r="L871" t="str">
            <v>PATRINE</v>
          </cell>
          <cell r="M871" t="str">
            <v>NÃO</v>
          </cell>
          <cell r="N871" t="str">
            <v>NÃO</v>
          </cell>
        </row>
        <row r="872">
          <cell r="A872" t="str">
            <v>PEN882</v>
          </cell>
          <cell r="B872" t="str">
            <v>PEN</v>
          </cell>
          <cell r="C872">
            <v>882</v>
          </cell>
          <cell r="D872">
            <v>45169</v>
          </cell>
          <cell r="E872" t="str">
            <v>AV : MATE LARANJEIRA , 496</v>
          </cell>
          <cell r="F872" t="str">
            <v>CENTRO</v>
          </cell>
          <cell r="G872" t="str">
            <v>GUAÍRA ( PR )</v>
          </cell>
          <cell r="H872" t="str">
            <v>PR LONDRINA</v>
          </cell>
          <cell r="I872" t="str">
            <v>T</v>
          </cell>
          <cell r="J872">
            <v>10</v>
          </cell>
          <cell r="K872" t="str">
            <v>ROT A</v>
          </cell>
          <cell r="L872" t="str">
            <v>MARIANA</v>
          </cell>
          <cell r="M872" t="str">
            <v>01 VAN</v>
          </cell>
          <cell r="N872" t="str">
            <v>HOTEL</v>
          </cell>
        </row>
        <row r="873">
          <cell r="A873" t="str">
            <v>PDA1783</v>
          </cell>
          <cell r="B873" t="str">
            <v>PDA</v>
          </cell>
          <cell r="C873">
            <v>1783</v>
          </cell>
          <cell r="D873">
            <v>45169</v>
          </cell>
          <cell r="E873" t="str">
            <v>RUA BARATA RIBEIRO , 189 - LOJAS A e B</v>
          </cell>
          <cell r="F873" t="str">
            <v>COPACABANA</v>
          </cell>
          <cell r="G873" t="str">
            <v>RIO DE JANEIRO</v>
          </cell>
          <cell r="H873" t="str">
            <v>RJ</v>
          </cell>
          <cell r="I873" t="str">
            <v>CA</v>
          </cell>
          <cell r="J873">
            <v>2</v>
          </cell>
          <cell r="K873" t="str">
            <v>DIURNO</v>
          </cell>
          <cell r="L873" t="str">
            <v>A DEFINIR</v>
          </cell>
          <cell r="M873" t="str">
            <v>NÃO</v>
          </cell>
          <cell r="N873" t="str">
            <v>NÃO</v>
          </cell>
        </row>
        <row r="874">
          <cell r="A874" t="str">
            <v>PEN264</v>
          </cell>
          <cell r="B874" t="str">
            <v>PEN</v>
          </cell>
          <cell r="C874">
            <v>264</v>
          </cell>
          <cell r="D874">
            <v>45169</v>
          </cell>
          <cell r="E874" t="str">
            <v>AV : DR. SOARES DE OLIVEIRA , 280</v>
          </cell>
          <cell r="F874" t="str">
            <v>CENTRO</v>
          </cell>
          <cell r="G874" t="str">
            <v>ITUVERAVA</v>
          </cell>
          <cell r="H874" t="str">
            <v>SP INT BAURU</v>
          </cell>
          <cell r="I874" t="str">
            <v>T</v>
          </cell>
          <cell r="J874">
            <v>5</v>
          </cell>
          <cell r="K874" t="str">
            <v>ROT INT</v>
          </cell>
          <cell r="L874" t="str">
            <v>VICTOR</v>
          </cell>
          <cell r="M874" t="str">
            <v>01 CARRO</v>
          </cell>
          <cell r="N874" t="str">
            <v>HOTEL</v>
          </cell>
        </row>
        <row r="875">
          <cell r="A875" t="str">
            <v>SHX1085656</v>
          </cell>
          <cell r="B875" t="str">
            <v>SHX</v>
          </cell>
          <cell r="C875">
            <v>1085656</v>
          </cell>
          <cell r="D875">
            <v>45169</v>
          </cell>
          <cell r="E875" t="str">
            <v>RUA RUY RODRIGUES , 640</v>
          </cell>
          <cell r="F875" t="str">
            <v>JD. NOVOS CAMPOS ELÍSEOS - RR</v>
          </cell>
          <cell r="G875" t="str">
            <v>CAMPINAS</v>
          </cell>
          <cell r="H875" t="str">
            <v>SP INT CPN</v>
          </cell>
          <cell r="I875" t="str">
            <v>F</v>
          </cell>
          <cell r="J875">
            <v>2</v>
          </cell>
          <cell r="K875">
            <v>0</v>
          </cell>
          <cell r="L875" t="str">
            <v>LEONARDO</v>
          </cell>
          <cell r="M875">
            <v>0</v>
          </cell>
          <cell r="N875">
            <v>0</v>
          </cell>
        </row>
        <row r="876">
          <cell r="A876" t="str">
            <v>SHX1088725</v>
          </cell>
          <cell r="B876" t="str">
            <v>SHX</v>
          </cell>
          <cell r="C876">
            <v>1088725</v>
          </cell>
          <cell r="D876">
            <v>45169</v>
          </cell>
          <cell r="E876" t="str">
            <v>AV : JOSÉ BONIFÁCIO , 2723</v>
          </cell>
          <cell r="F876" t="str">
            <v>JARDIM DO SHOPPING</v>
          </cell>
          <cell r="G876" t="str">
            <v>CAMPINAS</v>
          </cell>
          <cell r="H876" t="str">
            <v>SP INT CPN</v>
          </cell>
          <cell r="I876" t="str">
            <v>F</v>
          </cell>
          <cell r="J876">
            <v>2</v>
          </cell>
          <cell r="K876">
            <v>0</v>
          </cell>
          <cell r="L876" t="str">
            <v>LETÍCIA/EVA</v>
          </cell>
          <cell r="M876">
            <v>0</v>
          </cell>
          <cell r="N876">
            <v>0</v>
          </cell>
        </row>
        <row r="877">
          <cell r="A877" t="str">
            <v>SHX1089538</v>
          </cell>
          <cell r="B877" t="str">
            <v>SHX</v>
          </cell>
          <cell r="C877">
            <v>1089538</v>
          </cell>
          <cell r="D877">
            <v>45169</v>
          </cell>
          <cell r="E877" t="str">
            <v>RUA PASCHOAL GIANFRANCESCO , 60</v>
          </cell>
          <cell r="F877" t="str">
            <v>JD. MARIA DE FÁTIMA - REDE N</v>
          </cell>
          <cell r="G877" t="str">
            <v>VÁRZEA PAULISTA</v>
          </cell>
          <cell r="H877" t="str">
            <v>SP INT CPN</v>
          </cell>
          <cell r="I877" t="str">
            <v>F</v>
          </cell>
          <cell r="J877">
            <v>2</v>
          </cell>
          <cell r="K877">
            <v>0</v>
          </cell>
          <cell r="L877" t="str">
            <v>IZABELA/THALIA</v>
          </cell>
          <cell r="M877">
            <v>0</v>
          </cell>
          <cell r="N877">
            <v>0</v>
          </cell>
        </row>
        <row r="878">
          <cell r="A878" t="str">
            <v>SBS2</v>
          </cell>
          <cell r="B878" t="str">
            <v>SBS</v>
          </cell>
          <cell r="C878">
            <v>2</v>
          </cell>
          <cell r="D878">
            <v>45169</v>
          </cell>
          <cell r="E878" t="str">
            <v>RUA ANDRADINA , 20</v>
          </cell>
          <cell r="F878" t="str">
            <v>CIDADE NOVA I</v>
          </cell>
          <cell r="G878" t="str">
            <v>ITU</v>
          </cell>
          <cell r="H878" t="str">
            <v>SP INT LIMEIRA</v>
          </cell>
          <cell r="I878" t="str">
            <v>F</v>
          </cell>
          <cell r="J878">
            <v>1</v>
          </cell>
          <cell r="K878">
            <v>0</v>
          </cell>
          <cell r="L878" t="str">
            <v>VICTOR</v>
          </cell>
          <cell r="M878">
            <v>0</v>
          </cell>
          <cell r="N878">
            <v>0</v>
          </cell>
        </row>
        <row r="879">
          <cell r="A879" t="str">
            <v>PRA28</v>
          </cell>
          <cell r="B879" t="str">
            <v>PRA</v>
          </cell>
          <cell r="C879">
            <v>28</v>
          </cell>
          <cell r="D879">
            <v>45169</v>
          </cell>
          <cell r="E879" t="str">
            <v>AV : PROF. FLÁVIO PIRES DE CAMARGO , 850</v>
          </cell>
          <cell r="F879" t="str">
            <v>CAETETUBA</v>
          </cell>
          <cell r="G879" t="str">
            <v>ATIBAIA</v>
          </cell>
          <cell r="H879" t="str">
            <v>SP INT SJC</v>
          </cell>
          <cell r="I879" t="str">
            <v>T</v>
          </cell>
          <cell r="J879">
            <v>20</v>
          </cell>
          <cell r="K879">
            <v>0</v>
          </cell>
          <cell r="L879" t="str">
            <v>JAÍNE/FELIPE/BRUNA</v>
          </cell>
          <cell r="M879" t="str">
            <v>01 VAN e 01 CARRO</v>
          </cell>
          <cell r="N879">
            <v>0.6875</v>
          </cell>
        </row>
        <row r="880">
          <cell r="A880" t="str">
            <v>EAZ2</v>
          </cell>
          <cell r="B880" t="str">
            <v>EAZ</v>
          </cell>
          <cell r="C880">
            <v>2</v>
          </cell>
          <cell r="D880">
            <v>45169</v>
          </cell>
          <cell r="E880" t="str">
            <v>AV : ANTÔNIO ESTEVÃO DE CARVALHO , 1532</v>
          </cell>
          <cell r="F880" t="str">
            <v>CIDADE PATRIARCA</v>
          </cell>
          <cell r="G880" t="str">
            <v>SÃO PAULO</v>
          </cell>
          <cell r="H880" t="str">
            <v>SP LESTE</v>
          </cell>
          <cell r="I880" t="str">
            <v>P</v>
          </cell>
          <cell r="J880">
            <v>17</v>
          </cell>
          <cell r="K880">
            <v>0</v>
          </cell>
          <cell r="L880" t="str">
            <v>PATRÍCIA/LUANA</v>
          </cell>
          <cell r="M880" t="str">
            <v>NÃO</v>
          </cell>
          <cell r="N880" t="str">
            <v>NÃO</v>
          </cell>
        </row>
        <row r="881">
          <cell r="A881" t="str">
            <v>OXX1092505</v>
          </cell>
          <cell r="B881" t="str">
            <v>OXX</v>
          </cell>
          <cell r="C881">
            <v>1092505</v>
          </cell>
          <cell r="D881">
            <v>45169</v>
          </cell>
          <cell r="E881" t="str">
            <v>RUA CARAÍBAS , 957</v>
          </cell>
          <cell r="F881" t="str">
            <v>POMPÉIA - CARAÍBAS</v>
          </cell>
          <cell r="G881" t="str">
            <v>SÃO PAULO</v>
          </cell>
          <cell r="H881" t="str">
            <v>SP LESTE X</v>
          </cell>
          <cell r="I881" t="str">
            <v>F</v>
          </cell>
          <cell r="J881">
            <v>3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A882" t="str">
            <v>SHX1086742</v>
          </cell>
          <cell r="B882" t="str">
            <v>SHX</v>
          </cell>
          <cell r="C882">
            <v>1086742</v>
          </cell>
          <cell r="D882">
            <v>45169</v>
          </cell>
          <cell r="E882" t="str">
            <v>AV : DAS NAÇÕES , 826</v>
          </cell>
          <cell r="F882" t="str">
            <v>NOVO ORATÓRIO - ESTÔNIA 1</v>
          </cell>
          <cell r="G882" t="str">
            <v>SANTO ANDRÉ</v>
          </cell>
          <cell r="H882" t="str">
            <v>SP LESTE X</v>
          </cell>
          <cell r="I882" t="str">
            <v>F</v>
          </cell>
          <cell r="J882">
            <v>2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</row>
        <row r="883">
          <cell r="A883" t="str">
            <v>SHX1086744</v>
          </cell>
          <cell r="B883" t="str">
            <v>SHX</v>
          </cell>
          <cell r="C883">
            <v>1086744</v>
          </cell>
          <cell r="D883">
            <v>45169</v>
          </cell>
          <cell r="E883" t="str">
            <v>ROD. ÍNDIO TIBIRIÇÁ , S/Nº - SACOLÃO DO MINEIRO</v>
          </cell>
          <cell r="F883" t="str">
            <v>RANCHO ALEGRE - MURAKI</v>
          </cell>
          <cell r="G883" t="str">
            <v>RIBEIRÃO PIRES</v>
          </cell>
          <cell r="H883" t="str">
            <v>SP LESTE X</v>
          </cell>
          <cell r="I883" t="str">
            <v>F</v>
          </cell>
          <cell r="J883">
            <v>2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</row>
        <row r="884">
          <cell r="A884" t="str">
            <v>SHX1087435</v>
          </cell>
          <cell r="B884" t="str">
            <v>SHX</v>
          </cell>
          <cell r="C884">
            <v>1087435</v>
          </cell>
          <cell r="D884">
            <v>45169</v>
          </cell>
          <cell r="E884" t="str">
            <v>AV : DOM PEDRO II , 2180</v>
          </cell>
          <cell r="F884" t="str">
            <v>CAMPESTRE - ESTÔNIA 4</v>
          </cell>
          <cell r="G884" t="str">
            <v>SANTO ANDRÉ</v>
          </cell>
          <cell r="H884" t="str">
            <v>SP LESTE X</v>
          </cell>
          <cell r="I884" t="str">
            <v>F</v>
          </cell>
          <cell r="J884">
            <v>2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A885" t="str">
            <v>SHX1087449</v>
          </cell>
          <cell r="B885" t="str">
            <v>SHX</v>
          </cell>
          <cell r="C885">
            <v>1087449</v>
          </cell>
          <cell r="D885">
            <v>45169</v>
          </cell>
          <cell r="E885" t="str">
            <v>RUA MARINA , 1175</v>
          </cell>
          <cell r="F885" t="str">
            <v>CAMPESTRE - MARINA</v>
          </cell>
          <cell r="G885" t="str">
            <v>SANTO ANDRÉ</v>
          </cell>
          <cell r="H885" t="str">
            <v>SP LESTE X</v>
          </cell>
          <cell r="I885" t="str">
            <v>F</v>
          </cell>
          <cell r="J885">
            <v>2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A886" t="str">
            <v>SHX1093516</v>
          </cell>
          <cell r="B886" t="str">
            <v>SHX</v>
          </cell>
          <cell r="C886">
            <v>1093516</v>
          </cell>
          <cell r="D886">
            <v>45169</v>
          </cell>
          <cell r="E886" t="str">
            <v>RUA RIBEIRO DE BARROS , 18</v>
          </cell>
          <cell r="F886" t="str">
            <v>POMPÉIA - REIVILO</v>
          </cell>
          <cell r="G886" t="str">
            <v>SÃO PAULO</v>
          </cell>
          <cell r="H886" t="str">
            <v>SP LESTE X</v>
          </cell>
          <cell r="I886" t="str">
            <v>F</v>
          </cell>
          <cell r="J886">
            <v>2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A887" t="str">
            <v>STMS107</v>
          </cell>
          <cell r="B887" t="str">
            <v>STM</v>
          </cell>
          <cell r="C887" t="str">
            <v>S107</v>
          </cell>
          <cell r="D887">
            <v>45169</v>
          </cell>
          <cell r="E887" t="str">
            <v>AV : RICARDO JAFET , 1900</v>
          </cell>
          <cell r="F887" t="str">
            <v>CHÁCARA KLABIN</v>
          </cell>
          <cell r="G887" t="str">
            <v>SÃO PAULO</v>
          </cell>
          <cell r="H887" t="str">
            <v>SP SUL</v>
          </cell>
          <cell r="I887" t="str">
            <v>T</v>
          </cell>
          <cell r="J887">
            <v>40</v>
          </cell>
          <cell r="K887">
            <v>0</v>
          </cell>
          <cell r="L887" t="str">
            <v>RUAN</v>
          </cell>
          <cell r="M887" t="str">
            <v>NÃO</v>
          </cell>
          <cell r="N887" t="str">
            <v>NÃO</v>
          </cell>
        </row>
        <row r="888">
          <cell r="A888" t="str">
            <v>OXX1100536</v>
          </cell>
          <cell r="B888" t="str">
            <v>OXX</v>
          </cell>
          <cell r="C888">
            <v>1100536</v>
          </cell>
          <cell r="D888">
            <v>45169</v>
          </cell>
          <cell r="E888" t="str">
            <v>RUA DA CONSOLAÇÃO , 1109</v>
          </cell>
          <cell r="F888" t="str">
            <v>HIGIENÓPOLIS - ESTAÇÃO</v>
          </cell>
          <cell r="G888" t="str">
            <v>SÃO PAULO</v>
          </cell>
          <cell r="H888" t="str">
            <v>SP SUL X</v>
          </cell>
          <cell r="I888" t="str">
            <v>F</v>
          </cell>
          <cell r="J888">
            <v>3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A889" t="str">
            <v>SHX1049279</v>
          </cell>
          <cell r="B889" t="str">
            <v>SHX</v>
          </cell>
          <cell r="C889">
            <v>1049279</v>
          </cell>
          <cell r="D889">
            <v>45169</v>
          </cell>
          <cell r="E889" t="str">
            <v>RUA JOAQUIM NABUCO , 506</v>
          </cell>
          <cell r="F889" t="str">
            <v>CENTRO - JAÚ</v>
          </cell>
          <cell r="G889" t="str">
            <v>SÃO BERNARDO DO CAMPO</v>
          </cell>
          <cell r="H889" t="str">
            <v>SP SUL X</v>
          </cell>
          <cell r="I889" t="str">
            <v>F</v>
          </cell>
          <cell r="J889">
            <v>2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</row>
        <row r="890">
          <cell r="A890" t="str">
            <v>SHX1085195</v>
          </cell>
          <cell r="B890" t="str">
            <v>SHX</v>
          </cell>
          <cell r="C890">
            <v>1085195</v>
          </cell>
          <cell r="D890">
            <v>45169</v>
          </cell>
          <cell r="E890" t="str">
            <v>RUA DO RÓCIO , 351 - CONJ. 11</v>
          </cell>
          <cell r="F890" t="str">
            <v>VILA OLÍMPIA - ESCRITÓRIO SP</v>
          </cell>
          <cell r="G890" t="str">
            <v>SÃO PAULO</v>
          </cell>
          <cell r="H890" t="str">
            <v>SP SUL X</v>
          </cell>
          <cell r="I890" t="str">
            <v>F</v>
          </cell>
          <cell r="J890">
            <v>2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</row>
        <row r="891">
          <cell r="A891" t="str">
            <v>SHX1085655</v>
          </cell>
          <cell r="B891" t="str">
            <v>SHX</v>
          </cell>
          <cell r="C891">
            <v>1085655</v>
          </cell>
          <cell r="D891">
            <v>45169</v>
          </cell>
          <cell r="E891" t="str">
            <v>AV : PRES. MÉDICI , 375</v>
          </cell>
          <cell r="F891" t="str">
            <v>JD. MUTINGA - SÃO LONGUINHO</v>
          </cell>
          <cell r="G891" t="str">
            <v>OSASCO</v>
          </cell>
          <cell r="H891" t="str">
            <v>SP SUL X</v>
          </cell>
          <cell r="I891" t="str">
            <v>F</v>
          </cell>
          <cell r="J891">
            <v>2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A892" t="str">
            <v>SHX1086562</v>
          </cell>
          <cell r="B892" t="str">
            <v>SHX</v>
          </cell>
          <cell r="C892">
            <v>1086562</v>
          </cell>
          <cell r="D892">
            <v>45169</v>
          </cell>
          <cell r="E892" t="str">
            <v>AV : JOÃO FIRMINO , 330</v>
          </cell>
          <cell r="F892" t="str">
            <v>ASSUNÇÃO - EMIGRANTES</v>
          </cell>
          <cell r="G892" t="str">
            <v>SÃO BERNARDO DO CAMPO</v>
          </cell>
          <cell r="H892" t="str">
            <v>SP SUL X</v>
          </cell>
          <cell r="I892" t="str">
            <v>F</v>
          </cell>
          <cell r="J892">
            <v>2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A893" t="str">
            <v>SHX1088270</v>
          </cell>
          <cell r="B893" t="str">
            <v>SHX</v>
          </cell>
          <cell r="C893">
            <v>1088270</v>
          </cell>
          <cell r="D893">
            <v>45169</v>
          </cell>
          <cell r="E893" t="str">
            <v>RUA TREZE DE MAIO , 1888</v>
          </cell>
          <cell r="F893" t="str">
            <v>BELA VISTA - GRANDE SP</v>
          </cell>
          <cell r="G893" t="str">
            <v>SÃO PAULO</v>
          </cell>
          <cell r="H893" t="str">
            <v>SP SUL X</v>
          </cell>
          <cell r="I893" t="str">
            <v>F</v>
          </cell>
          <cell r="J893">
            <v>2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A894" t="str">
            <v>SHX1094376</v>
          </cell>
          <cell r="B894" t="str">
            <v>SHX</v>
          </cell>
          <cell r="C894">
            <v>1094376</v>
          </cell>
          <cell r="D894">
            <v>45169</v>
          </cell>
          <cell r="E894" t="str">
            <v>AV : DOS BANDEIRANTES , 4050 - CONJ. RES. DO PINHAL</v>
          </cell>
          <cell r="F894" t="str">
            <v>PLANALTO PAULISTA - INVICTO</v>
          </cell>
          <cell r="G894" t="str">
            <v>SÃO PAULO</v>
          </cell>
          <cell r="H894" t="str">
            <v>SP SUL X</v>
          </cell>
          <cell r="I894" t="str">
            <v>F</v>
          </cell>
          <cell r="J894">
            <v>2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/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 t="str">
            <v>Total</v>
          </cell>
          <cell r="J895">
            <v>139</v>
          </cell>
          <cell r="K895">
            <v>451</v>
          </cell>
          <cell r="L895">
            <v>0</v>
          </cell>
          <cell r="M895">
            <v>0</v>
          </cell>
          <cell r="N895">
            <v>0</v>
          </cell>
        </row>
        <row r="896">
          <cell r="A896">
            <v>0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J898">
            <v>0</v>
          </cell>
        </row>
      </sheetData>
      <sheetData sheetId="4" refreshError="1"/>
      <sheetData sheetId="5" refreshError="1"/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D14"/>
  <sheetViews>
    <sheetView workbookViewId="0">
      <pane ySplit="1" topLeftCell="A2" activePane="bottomLeft" state="frozen"/>
      <selection pane="bottomLeft" activeCell="F12" sqref="F12"/>
    </sheetView>
  </sheetViews>
  <sheetFormatPr defaultColWidth="9.109375" defaultRowHeight="14.4" x14ac:dyDescent="0.3"/>
  <cols>
    <col min="1" max="1" width="29.6640625" style="1" customWidth="1"/>
    <col min="2" max="3" width="9.109375" style="1"/>
    <col min="4" max="4" width="6.33203125" style="1" customWidth="1"/>
    <col min="5" max="16384" width="9.109375" style="1"/>
  </cols>
  <sheetData>
    <row r="1" spans="1:4" ht="15.6" thickTop="1" thickBot="1" x14ac:dyDescent="0.35">
      <c r="A1" s="379" t="s">
        <v>82</v>
      </c>
      <c r="B1" s="380"/>
      <c r="C1" s="380"/>
      <c r="D1" s="380"/>
    </row>
    <row r="2" spans="1:4" ht="15" thickTop="1" x14ac:dyDescent="0.3">
      <c r="A2" s="55"/>
      <c r="B2" s="58" t="s">
        <v>73</v>
      </c>
      <c r="C2" s="384" t="s">
        <v>74</v>
      </c>
      <c r="D2" s="385"/>
    </row>
    <row r="3" spans="1:4" x14ac:dyDescent="0.3">
      <c r="A3" s="56" t="s">
        <v>81</v>
      </c>
      <c r="B3" s="58">
        <v>52</v>
      </c>
      <c r="C3" s="386">
        <v>47</v>
      </c>
      <c r="D3" s="387"/>
    </row>
    <row r="4" spans="1:4" x14ac:dyDescent="0.3">
      <c r="A4" s="56" t="s">
        <v>80</v>
      </c>
      <c r="B4" s="58">
        <v>105</v>
      </c>
      <c r="C4" s="386">
        <v>186</v>
      </c>
      <c r="D4" s="387"/>
    </row>
    <row r="5" spans="1:4" x14ac:dyDescent="0.3">
      <c r="A5" s="56" t="s">
        <v>79</v>
      </c>
      <c r="B5" s="58">
        <v>101</v>
      </c>
      <c r="C5" s="386">
        <v>30</v>
      </c>
      <c r="D5" s="387"/>
    </row>
    <row r="6" spans="1:4" x14ac:dyDescent="0.3">
      <c r="A6" s="56" t="s">
        <v>78</v>
      </c>
      <c r="B6" s="58">
        <v>158</v>
      </c>
      <c r="C6" s="386">
        <v>72</v>
      </c>
      <c r="D6" s="387"/>
    </row>
    <row r="7" spans="1:4" ht="4.5" customHeight="1" x14ac:dyDescent="0.3">
      <c r="A7" s="381"/>
      <c r="B7" s="382"/>
      <c r="C7" s="382"/>
      <c r="D7" s="383"/>
    </row>
    <row r="8" spans="1:4" x14ac:dyDescent="0.3">
      <c r="A8" s="56" t="s">
        <v>3</v>
      </c>
      <c r="B8" s="58">
        <v>7</v>
      </c>
      <c r="C8" s="386">
        <v>18</v>
      </c>
      <c r="D8" s="387"/>
    </row>
    <row r="9" spans="1:4" ht="4.5" customHeight="1" x14ac:dyDescent="0.3">
      <c r="A9" s="381"/>
      <c r="B9" s="382"/>
      <c r="C9" s="382"/>
      <c r="D9" s="383"/>
    </row>
    <row r="10" spans="1:4" x14ac:dyDescent="0.3">
      <c r="A10" s="56" t="s">
        <v>77</v>
      </c>
      <c r="B10" s="58">
        <v>0</v>
      </c>
      <c r="C10" s="386">
        <v>3</v>
      </c>
      <c r="D10" s="387"/>
    </row>
    <row r="11" spans="1:4" x14ac:dyDescent="0.3">
      <c r="A11" s="56" t="s">
        <v>76</v>
      </c>
      <c r="B11" s="58">
        <v>0</v>
      </c>
      <c r="C11" s="386">
        <v>3</v>
      </c>
      <c r="D11" s="387"/>
    </row>
    <row r="12" spans="1:4" x14ac:dyDescent="0.3">
      <c r="A12" s="56" t="s">
        <v>75</v>
      </c>
      <c r="B12" s="58">
        <v>0</v>
      </c>
      <c r="C12" s="386">
        <v>2</v>
      </c>
      <c r="D12" s="387"/>
    </row>
    <row r="13" spans="1:4" x14ac:dyDescent="0.3">
      <c r="A13" s="56" t="s">
        <v>8</v>
      </c>
      <c r="B13" s="58">
        <v>14</v>
      </c>
      <c r="C13" s="386">
        <v>160</v>
      </c>
      <c r="D13" s="387"/>
    </row>
    <row r="14" spans="1:4" ht="15" thickBot="1" x14ac:dyDescent="0.35">
      <c r="A14" s="57" t="s">
        <v>9</v>
      </c>
      <c r="B14" s="59">
        <v>13</v>
      </c>
      <c r="C14" s="388">
        <v>36</v>
      </c>
      <c r="D14" s="389"/>
    </row>
  </sheetData>
  <mergeCells count="14">
    <mergeCell ref="C10:D10"/>
    <mergeCell ref="C11:D11"/>
    <mergeCell ref="C12:D12"/>
    <mergeCell ref="C13:D13"/>
    <mergeCell ref="C14:D14"/>
    <mergeCell ref="A1:D1"/>
    <mergeCell ref="A7:D7"/>
    <mergeCell ref="A9:D9"/>
    <mergeCell ref="C2:D2"/>
    <mergeCell ref="C3:D3"/>
    <mergeCell ref="C4:D4"/>
    <mergeCell ref="C5:D5"/>
    <mergeCell ref="C6:D6"/>
    <mergeCell ref="C8:D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L741"/>
  <sheetViews>
    <sheetView topLeftCell="B1" zoomScale="120" zoomScaleNormal="120" workbookViewId="0">
      <pane ySplit="3" topLeftCell="A4" activePane="bottomLeft" state="frozen"/>
      <selection activeCell="A388" sqref="A388:XFD388"/>
      <selection pane="bottomLeft" activeCell="B4" sqref="B4"/>
    </sheetView>
  </sheetViews>
  <sheetFormatPr defaultColWidth="9.109375" defaultRowHeight="14.4" x14ac:dyDescent="0.3"/>
  <cols>
    <col min="1" max="1" width="6.88671875" style="37" hidden="1" customWidth="1"/>
    <col min="2" max="2" width="7.6640625" style="37" customWidth="1"/>
    <col min="3" max="3" width="7.6640625" style="38" customWidth="1"/>
    <col min="4" max="4" width="9.6640625" style="40" customWidth="1"/>
    <col min="5" max="5" width="3.33203125" style="39" customWidth="1"/>
    <col min="6" max="14" width="3.33203125" style="3" customWidth="1"/>
    <col min="15" max="15" width="4.33203125" style="3" customWidth="1"/>
    <col min="16" max="16" width="4.33203125" style="155" customWidth="1"/>
    <col min="17" max="25" width="4.33203125" style="3" customWidth="1"/>
    <col min="26" max="27" width="3.33203125" style="2" customWidth="1"/>
    <col min="28" max="28" width="3.33203125" style="11" customWidth="1"/>
    <col min="29" max="29" width="3.33203125" style="2" customWidth="1"/>
    <col min="30" max="30" width="3.33203125" style="34" customWidth="1"/>
    <col min="31" max="36" width="3.33203125" style="3" customWidth="1"/>
    <col min="37" max="49" width="3.33203125" style="4" customWidth="1"/>
    <col min="50" max="51" width="3.33203125" style="6" customWidth="1"/>
    <col min="52" max="53" width="3.33203125" style="7" customWidth="1"/>
    <col min="54" max="54" width="3.33203125" style="9" customWidth="1"/>
    <col min="55" max="55" width="3.33203125" style="11" customWidth="1"/>
    <col min="56" max="56" width="3.33203125" style="2" customWidth="1"/>
    <col min="57" max="57" width="3.33203125" style="41" customWidth="1"/>
    <col min="58" max="63" width="7.6640625" style="52" bestFit="1" customWidth="1"/>
    <col min="64" max="64" width="7.6640625" style="53" bestFit="1" customWidth="1"/>
    <col min="65" max="65" width="9.109375" style="1" customWidth="1"/>
    <col min="66" max="16384" width="9.109375" style="1"/>
  </cols>
  <sheetData>
    <row r="1" spans="1:64" s="12" customFormat="1" x14ac:dyDescent="0.3">
      <c r="A1" s="36">
        <v>1</v>
      </c>
      <c r="B1" s="36">
        <v>2</v>
      </c>
      <c r="C1" s="36">
        <v>3</v>
      </c>
      <c r="D1" s="36">
        <v>4</v>
      </c>
      <c r="E1" s="36">
        <v>5</v>
      </c>
      <c r="F1" s="36">
        <v>6</v>
      </c>
      <c r="G1" s="36">
        <v>7</v>
      </c>
      <c r="H1" s="36">
        <v>8</v>
      </c>
      <c r="I1" s="36">
        <v>9</v>
      </c>
      <c r="J1" s="36">
        <v>10</v>
      </c>
      <c r="K1" s="36">
        <v>11</v>
      </c>
      <c r="L1" s="36">
        <v>12</v>
      </c>
      <c r="M1" s="36">
        <v>13</v>
      </c>
      <c r="N1" s="36">
        <v>14</v>
      </c>
      <c r="O1" s="36">
        <v>15</v>
      </c>
      <c r="P1" s="36">
        <v>16</v>
      </c>
      <c r="Q1" s="36">
        <v>17</v>
      </c>
      <c r="R1" s="36">
        <v>18</v>
      </c>
      <c r="S1" s="36">
        <v>19</v>
      </c>
      <c r="T1" s="36">
        <v>20</v>
      </c>
      <c r="U1" s="36">
        <v>21</v>
      </c>
      <c r="V1" s="36">
        <v>22</v>
      </c>
      <c r="W1" s="36">
        <v>23</v>
      </c>
      <c r="X1" s="36">
        <v>24</v>
      </c>
      <c r="Y1" s="36">
        <v>25</v>
      </c>
      <c r="Z1" s="36">
        <v>26</v>
      </c>
      <c r="AA1" s="36">
        <v>27</v>
      </c>
      <c r="AB1" s="36">
        <v>28</v>
      </c>
      <c r="AC1" s="36">
        <v>29</v>
      </c>
      <c r="AD1" s="36">
        <v>30</v>
      </c>
      <c r="AE1" s="36">
        <v>31</v>
      </c>
      <c r="AF1" s="36">
        <v>32</v>
      </c>
      <c r="AG1" s="36">
        <v>33</v>
      </c>
      <c r="AH1" s="36">
        <v>34</v>
      </c>
      <c r="AI1" s="36">
        <v>35</v>
      </c>
      <c r="AJ1" s="36">
        <v>36</v>
      </c>
      <c r="AK1" s="36">
        <v>37</v>
      </c>
      <c r="AL1" s="36">
        <v>38</v>
      </c>
      <c r="AM1" s="36">
        <v>39</v>
      </c>
      <c r="AN1" s="36">
        <v>40</v>
      </c>
      <c r="AO1" s="36">
        <v>41</v>
      </c>
      <c r="AP1" s="36">
        <v>42</v>
      </c>
      <c r="AQ1" s="36">
        <v>43</v>
      </c>
      <c r="AR1" s="36">
        <v>44</v>
      </c>
      <c r="AS1" s="36">
        <v>45</v>
      </c>
      <c r="AT1" s="36">
        <v>46</v>
      </c>
      <c r="AU1" s="36">
        <v>47</v>
      </c>
      <c r="AV1" s="36">
        <v>48</v>
      </c>
      <c r="AW1" s="36">
        <v>49</v>
      </c>
      <c r="AX1" s="36">
        <v>50</v>
      </c>
      <c r="AY1" s="36">
        <v>51</v>
      </c>
      <c r="AZ1" s="36">
        <v>52</v>
      </c>
      <c r="BA1" s="36">
        <v>53</v>
      </c>
      <c r="BB1" s="36">
        <v>54</v>
      </c>
      <c r="BC1" s="36">
        <v>55</v>
      </c>
      <c r="BD1" s="36">
        <v>56</v>
      </c>
      <c r="BE1" s="36">
        <v>57</v>
      </c>
      <c r="BF1" s="36">
        <v>57</v>
      </c>
      <c r="BG1" s="36">
        <v>58</v>
      </c>
      <c r="BH1" s="36">
        <v>59</v>
      </c>
      <c r="BI1" s="36">
        <v>60</v>
      </c>
      <c r="BJ1" s="36">
        <v>61</v>
      </c>
      <c r="BK1" s="36">
        <v>62</v>
      </c>
      <c r="BL1" s="36">
        <v>63</v>
      </c>
    </row>
    <row r="2" spans="1:64" s="35" customFormat="1" ht="15.75" customHeight="1" x14ac:dyDescent="0.25">
      <c r="A2" s="390" t="s">
        <v>221</v>
      </c>
      <c r="B2" s="390"/>
      <c r="C2" s="390"/>
      <c r="D2" s="390"/>
      <c r="E2" s="390"/>
      <c r="F2" s="391" t="s">
        <v>26</v>
      </c>
      <c r="G2" s="391"/>
      <c r="H2" s="391"/>
      <c r="I2" s="391"/>
      <c r="J2" s="391"/>
      <c r="K2" s="391"/>
      <c r="L2" s="391"/>
      <c r="M2" s="391"/>
      <c r="N2" s="391"/>
      <c r="O2" s="392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151"/>
      <c r="AA2" s="151"/>
      <c r="AB2" s="151"/>
      <c r="AC2" s="151"/>
      <c r="AD2" s="393" t="s">
        <v>27</v>
      </c>
      <c r="AE2" s="393"/>
      <c r="AF2" s="393"/>
      <c r="AG2" s="393"/>
      <c r="AH2" s="393"/>
      <c r="AI2" s="393"/>
      <c r="AJ2" s="393"/>
      <c r="AK2" s="393"/>
      <c r="AL2" s="393"/>
      <c r="AM2" s="393"/>
      <c r="AN2" s="393"/>
      <c r="AO2" s="393"/>
      <c r="AP2" s="394" t="s">
        <v>51</v>
      </c>
      <c r="AQ2" s="394"/>
      <c r="AR2" s="394"/>
      <c r="AS2" s="394"/>
      <c r="AT2" s="394"/>
      <c r="AU2" s="394"/>
      <c r="AV2" s="394"/>
      <c r="AW2" s="394"/>
      <c r="AX2" s="394"/>
      <c r="AY2" s="394"/>
      <c r="AZ2" s="394"/>
      <c r="BA2" s="394"/>
      <c r="BB2" s="150"/>
      <c r="BC2" s="151"/>
      <c r="BD2" s="151"/>
      <c r="BE2" s="152"/>
      <c r="BF2" s="395" t="s">
        <v>63</v>
      </c>
      <c r="BG2" s="395"/>
      <c r="BH2" s="395"/>
      <c r="BI2" s="395"/>
      <c r="BJ2" s="395"/>
      <c r="BK2" s="395"/>
      <c r="BL2" s="396"/>
    </row>
    <row r="3" spans="1:64" s="148" customFormat="1" ht="147" customHeight="1" x14ac:dyDescent="0.3">
      <c r="A3" s="156" t="s">
        <v>29</v>
      </c>
      <c r="B3" s="156" t="s">
        <v>30</v>
      </c>
      <c r="C3" s="156" t="s">
        <v>31</v>
      </c>
      <c r="D3" s="156" t="s">
        <v>28</v>
      </c>
      <c r="E3" s="157" t="s">
        <v>71</v>
      </c>
      <c r="F3" s="158" t="s">
        <v>3</v>
      </c>
      <c r="G3" s="33" t="s">
        <v>225</v>
      </c>
      <c r="H3" s="33" t="s">
        <v>224</v>
      </c>
      <c r="I3" s="33" t="s">
        <v>4</v>
      </c>
      <c r="J3" s="33" t="s">
        <v>5</v>
      </c>
      <c r="K3" s="33" t="s">
        <v>6</v>
      </c>
      <c r="L3" s="33" t="s">
        <v>7</v>
      </c>
      <c r="M3" s="33" t="s">
        <v>8</v>
      </c>
      <c r="N3" s="33" t="s">
        <v>153</v>
      </c>
      <c r="O3" s="153" t="s">
        <v>230</v>
      </c>
      <c r="P3" s="153" t="s">
        <v>32</v>
      </c>
      <c r="Q3" s="49" t="s">
        <v>33</v>
      </c>
      <c r="R3" s="49" t="s">
        <v>34</v>
      </c>
      <c r="S3" s="49" t="s">
        <v>110</v>
      </c>
      <c r="T3" s="49" t="s">
        <v>35</v>
      </c>
      <c r="U3" s="49" t="s">
        <v>36</v>
      </c>
      <c r="V3" s="49" t="s">
        <v>37</v>
      </c>
      <c r="W3" s="49" t="s">
        <v>38</v>
      </c>
      <c r="X3" s="49" t="s">
        <v>39</v>
      </c>
      <c r="Y3" s="49" t="s">
        <v>40</v>
      </c>
      <c r="Z3" s="102" t="s">
        <v>130</v>
      </c>
      <c r="AA3" s="103" t="s">
        <v>127</v>
      </c>
      <c r="AB3" s="89" t="s">
        <v>24</v>
      </c>
      <c r="AC3" s="86" t="s">
        <v>72</v>
      </c>
      <c r="AD3" s="47" t="s">
        <v>147</v>
      </c>
      <c r="AE3" s="47" t="s">
        <v>146</v>
      </c>
      <c r="AF3" s="47" t="s">
        <v>148</v>
      </c>
      <c r="AG3" s="47" t="s">
        <v>11</v>
      </c>
      <c r="AH3" s="47" t="s">
        <v>12</v>
      </c>
      <c r="AI3" s="47" t="s">
        <v>13</v>
      </c>
      <c r="AJ3" s="47" t="s">
        <v>14</v>
      </c>
      <c r="AK3" s="47" t="s">
        <v>15</v>
      </c>
      <c r="AL3" s="47" t="s">
        <v>16</v>
      </c>
      <c r="AM3" s="47" t="s">
        <v>17</v>
      </c>
      <c r="AN3" s="47" t="s">
        <v>18</v>
      </c>
      <c r="AO3" s="47" t="s">
        <v>19</v>
      </c>
      <c r="AP3" s="48" t="s">
        <v>20</v>
      </c>
      <c r="AQ3" s="48" t="s">
        <v>0</v>
      </c>
      <c r="AR3" s="48" t="s">
        <v>1</v>
      </c>
      <c r="AS3" s="48" t="s">
        <v>41</v>
      </c>
      <c r="AT3" s="48" t="s">
        <v>243</v>
      </c>
      <c r="AU3" s="48" t="s">
        <v>106</v>
      </c>
      <c r="AV3" s="48" t="s">
        <v>105</v>
      </c>
      <c r="AW3" s="48" t="s">
        <v>2</v>
      </c>
      <c r="AX3" s="48" t="s">
        <v>50</v>
      </c>
      <c r="AY3" s="48" t="s">
        <v>212</v>
      </c>
      <c r="AZ3" s="48" t="s">
        <v>21</v>
      </c>
      <c r="BA3" s="48" t="s">
        <v>22</v>
      </c>
      <c r="BB3" s="88" t="s">
        <v>23</v>
      </c>
      <c r="BC3" s="146" t="s">
        <v>107</v>
      </c>
      <c r="BD3" s="85" t="s">
        <v>115</v>
      </c>
      <c r="BE3" s="87" t="s">
        <v>25</v>
      </c>
      <c r="BF3" s="46" t="s">
        <v>64</v>
      </c>
      <c r="BG3" s="46" t="s">
        <v>65</v>
      </c>
      <c r="BH3" s="46" t="s">
        <v>66</v>
      </c>
      <c r="BI3" s="46" t="s">
        <v>70</v>
      </c>
      <c r="BJ3" s="46" t="s">
        <v>67</v>
      </c>
      <c r="BK3" s="46" t="s">
        <v>68</v>
      </c>
      <c r="BL3" s="46" t="s">
        <v>69</v>
      </c>
    </row>
    <row r="4" spans="1:64" ht="15" customHeight="1" x14ac:dyDescent="0.3">
      <c r="A4" s="241" t="str">
        <f>CONCATENATE(B4,C4)</f>
        <v/>
      </c>
      <c r="B4" s="364"/>
      <c r="C4" s="362"/>
      <c r="D4" s="363"/>
      <c r="E4" s="366"/>
      <c r="F4" s="329"/>
      <c r="G4" s="329"/>
      <c r="H4" s="329"/>
      <c r="I4" s="329"/>
      <c r="J4" s="329"/>
      <c r="K4" s="329"/>
      <c r="L4" s="329"/>
      <c r="M4" s="329"/>
      <c r="N4" s="329"/>
      <c r="O4" s="330"/>
      <c r="P4" s="330"/>
      <c r="Q4" s="331"/>
      <c r="R4" s="331"/>
      <c r="S4" s="331"/>
      <c r="T4" s="331"/>
      <c r="U4" s="331"/>
      <c r="V4" s="331"/>
      <c r="W4" s="331"/>
      <c r="X4" s="332"/>
      <c r="Y4" s="331"/>
      <c r="Z4" s="329"/>
      <c r="AA4" s="333"/>
      <c r="AB4" s="334"/>
      <c r="AC4" s="335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8"/>
      <c r="BC4" s="339"/>
      <c r="BD4" s="340"/>
      <c r="BE4" s="341"/>
      <c r="BF4" s="58"/>
      <c r="BG4" s="58"/>
      <c r="BH4" s="58"/>
      <c r="BI4" s="58"/>
      <c r="BJ4" s="58"/>
      <c r="BK4" s="58"/>
      <c r="BL4" s="199"/>
    </row>
    <row r="5" spans="1:64" ht="15" customHeight="1" x14ac:dyDescent="0.3">
      <c r="A5" s="241" t="str">
        <f t="shared" ref="A5:A67" si="0">CONCATENATE(B5,C5)</f>
        <v/>
      </c>
      <c r="B5" s="371"/>
      <c r="C5" s="362"/>
      <c r="D5" s="363"/>
      <c r="E5" s="366"/>
      <c r="F5" s="327"/>
      <c r="G5" s="329"/>
      <c r="H5" s="329"/>
      <c r="I5" s="329"/>
      <c r="J5" s="329"/>
      <c r="K5" s="329"/>
      <c r="L5" s="329"/>
      <c r="M5" s="329"/>
      <c r="N5" s="329"/>
      <c r="O5" s="330"/>
      <c r="P5" s="330"/>
      <c r="Q5" s="331"/>
      <c r="R5" s="331"/>
      <c r="S5" s="331"/>
      <c r="T5" s="331"/>
      <c r="U5" s="331"/>
      <c r="V5" s="331"/>
      <c r="W5" s="331"/>
      <c r="X5" s="332"/>
      <c r="Y5" s="331"/>
      <c r="Z5" s="329"/>
      <c r="AA5" s="333"/>
      <c r="AB5" s="334"/>
      <c r="AC5" s="335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8"/>
      <c r="BC5" s="339"/>
      <c r="BD5" s="340"/>
      <c r="BE5" s="341"/>
    </row>
    <row r="6" spans="1:64" ht="15" customHeight="1" x14ac:dyDescent="0.3">
      <c r="A6" s="241" t="str">
        <f t="shared" si="0"/>
        <v/>
      </c>
      <c r="B6" s="371"/>
      <c r="C6" s="362"/>
      <c r="D6" s="363"/>
      <c r="E6" s="366"/>
      <c r="F6" s="347"/>
      <c r="G6" s="329"/>
      <c r="H6" s="329"/>
      <c r="I6" s="329"/>
      <c r="J6" s="329"/>
      <c r="K6" s="329"/>
      <c r="L6" s="329"/>
      <c r="M6" s="329"/>
      <c r="N6" s="329"/>
      <c r="O6" s="330"/>
      <c r="P6" s="330"/>
      <c r="Q6" s="331"/>
      <c r="R6" s="331"/>
      <c r="S6" s="331"/>
      <c r="T6" s="331"/>
      <c r="U6" s="331"/>
      <c r="V6" s="331"/>
      <c r="W6" s="331"/>
      <c r="X6" s="332"/>
      <c r="Y6" s="331"/>
      <c r="Z6" s="329"/>
      <c r="AA6" s="333"/>
      <c r="AB6" s="334"/>
      <c r="AC6" s="335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8"/>
      <c r="BC6" s="339"/>
      <c r="BD6" s="340"/>
      <c r="BE6" s="341"/>
    </row>
    <row r="7" spans="1:64" ht="15" customHeight="1" x14ac:dyDescent="0.3">
      <c r="A7" s="241" t="str">
        <f t="shared" si="0"/>
        <v/>
      </c>
      <c r="B7" s="371"/>
      <c r="C7" s="362"/>
      <c r="D7" s="363"/>
      <c r="E7" s="366"/>
      <c r="F7" s="327"/>
      <c r="G7" s="329"/>
      <c r="H7" s="329"/>
      <c r="I7" s="329"/>
      <c r="J7" s="329"/>
      <c r="K7" s="329"/>
      <c r="L7" s="329"/>
      <c r="M7" s="329"/>
      <c r="N7" s="329"/>
      <c r="O7" s="330"/>
      <c r="P7" s="330"/>
      <c r="Q7" s="331"/>
      <c r="R7" s="331"/>
      <c r="S7" s="331"/>
      <c r="T7" s="331"/>
      <c r="U7" s="331"/>
      <c r="V7" s="331"/>
      <c r="W7" s="331"/>
      <c r="X7" s="332"/>
      <c r="Y7" s="331"/>
      <c r="Z7" s="329"/>
      <c r="AA7" s="333"/>
      <c r="AB7" s="334"/>
      <c r="AC7" s="335"/>
      <c r="AD7" s="336"/>
      <c r="AE7" s="336"/>
      <c r="AF7" s="336"/>
      <c r="AG7" s="336"/>
      <c r="AH7" s="336"/>
      <c r="AI7" s="336"/>
      <c r="AJ7" s="336"/>
      <c r="AK7" s="336"/>
      <c r="AL7" s="336"/>
      <c r="AM7" s="336"/>
      <c r="AN7" s="336"/>
      <c r="AO7" s="336"/>
      <c r="AP7" s="337"/>
      <c r="AQ7" s="337"/>
      <c r="AR7" s="337"/>
      <c r="AS7" s="337"/>
      <c r="AT7" s="337"/>
      <c r="AU7" s="337"/>
      <c r="AV7" s="337"/>
      <c r="AW7" s="337"/>
      <c r="AX7" s="337"/>
      <c r="AY7" s="337"/>
      <c r="AZ7" s="337"/>
      <c r="BA7" s="337"/>
      <c r="BB7" s="338"/>
      <c r="BC7" s="339"/>
      <c r="BD7" s="340"/>
      <c r="BE7" s="341"/>
    </row>
    <row r="8" spans="1:64" ht="15" customHeight="1" x14ac:dyDescent="0.3">
      <c r="A8" s="241" t="str">
        <f t="shared" si="0"/>
        <v/>
      </c>
      <c r="B8" s="371"/>
      <c r="C8" s="362"/>
      <c r="D8" s="363"/>
      <c r="E8" s="366"/>
      <c r="F8" s="327"/>
      <c r="G8" s="329"/>
      <c r="H8" s="329"/>
      <c r="I8" s="329"/>
      <c r="J8" s="329"/>
      <c r="K8" s="329"/>
      <c r="L8" s="329"/>
      <c r="M8" s="329"/>
      <c r="N8" s="329"/>
      <c r="O8" s="330"/>
      <c r="P8" s="330"/>
      <c r="Q8" s="331"/>
      <c r="R8" s="331"/>
      <c r="S8" s="331"/>
      <c r="T8" s="331"/>
      <c r="U8" s="331"/>
      <c r="V8" s="331"/>
      <c r="W8" s="331"/>
      <c r="X8" s="332"/>
      <c r="Y8" s="331"/>
      <c r="Z8" s="329"/>
      <c r="AA8" s="333"/>
      <c r="AB8" s="334"/>
      <c r="AC8" s="335"/>
      <c r="AD8" s="336"/>
      <c r="AE8" s="336"/>
      <c r="AF8" s="336"/>
      <c r="AG8" s="336"/>
      <c r="AH8" s="336"/>
      <c r="AI8" s="336"/>
      <c r="AJ8" s="336"/>
      <c r="AK8" s="336"/>
      <c r="AL8" s="336"/>
      <c r="AM8" s="336"/>
      <c r="AN8" s="336"/>
      <c r="AO8" s="336"/>
      <c r="AP8" s="337"/>
      <c r="AQ8" s="337"/>
      <c r="AR8" s="337"/>
      <c r="AS8" s="337"/>
      <c r="AT8" s="337"/>
      <c r="AU8" s="337"/>
      <c r="AV8" s="337"/>
      <c r="AW8" s="337"/>
      <c r="AX8" s="337"/>
      <c r="AY8" s="337"/>
      <c r="AZ8" s="337"/>
      <c r="BA8" s="337"/>
      <c r="BB8" s="338"/>
      <c r="BC8" s="339"/>
      <c r="BD8" s="340"/>
      <c r="BE8" s="341"/>
    </row>
    <row r="9" spans="1:64" ht="15" customHeight="1" x14ac:dyDescent="0.3">
      <c r="A9" s="241" t="str">
        <f t="shared" si="0"/>
        <v/>
      </c>
      <c r="B9" s="364"/>
      <c r="C9" s="362"/>
      <c r="D9" s="363"/>
      <c r="E9" s="366"/>
      <c r="F9" s="327"/>
      <c r="G9" s="329"/>
      <c r="H9" s="329"/>
      <c r="I9" s="329"/>
      <c r="J9" s="329"/>
      <c r="K9" s="329"/>
      <c r="L9" s="329"/>
      <c r="M9" s="329"/>
      <c r="N9" s="329"/>
      <c r="O9" s="330"/>
      <c r="P9" s="330"/>
      <c r="Q9" s="331"/>
      <c r="R9" s="331"/>
      <c r="S9" s="331"/>
      <c r="T9" s="331"/>
      <c r="U9" s="331"/>
      <c r="V9" s="331"/>
      <c r="W9" s="331"/>
      <c r="X9" s="332"/>
      <c r="Y9" s="331"/>
      <c r="Z9" s="329"/>
      <c r="AA9" s="333"/>
      <c r="AB9" s="334"/>
      <c r="AC9" s="335"/>
      <c r="AD9" s="336"/>
      <c r="AE9" s="336"/>
      <c r="AF9" s="336"/>
      <c r="AG9" s="336"/>
      <c r="AH9" s="336"/>
      <c r="AI9" s="336"/>
      <c r="AJ9" s="336"/>
      <c r="AK9" s="336"/>
      <c r="AL9" s="336"/>
      <c r="AM9" s="336"/>
      <c r="AN9" s="336"/>
      <c r="AO9" s="336"/>
      <c r="AP9" s="337"/>
      <c r="AQ9" s="337"/>
      <c r="AR9" s="337"/>
      <c r="AS9" s="337"/>
      <c r="AT9" s="337"/>
      <c r="AU9" s="337"/>
      <c r="AV9" s="337"/>
      <c r="AW9" s="337"/>
      <c r="AX9" s="337"/>
      <c r="AY9" s="337"/>
      <c r="AZ9" s="337"/>
      <c r="BA9" s="337"/>
      <c r="BB9" s="338"/>
      <c r="BC9" s="339"/>
      <c r="BD9" s="340"/>
      <c r="BE9" s="341"/>
      <c r="BF9" s="377"/>
      <c r="BG9" s="377"/>
      <c r="BH9" s="377"/>
      <c r="BI9" s="377"/>
      <c r="BJ9" s="377"/>
      <c r="BK9" s="377"/>
      <c r="BL9" s="378"/>
    </row>
    <row r="10" spans="1:64" ht="15" customHeight="1" x14ac:dyDescent="0.3">
      <c r="A10" s="241" t="str">
        <f t="shared" si="0"/>
        <v/>
      </c>
      <c r="B10" s="371"/>
      <c r="C10" s="362"/>
      <c r="D10" s="363"/>
      <c r="E10" s="366"/>
      <c r="F10" s="347"/>
      <c r="G10" s="329"/>
      <c r="H10" s="329"/>
      <c r="I10" s="329"/>
      <c r="J10" s="329"/>
      <c r="K10" s="329"/>
      <c r="L10" s="329"/>
      <c r="M10" s="329"/>
      <c r="N10" s="329"/>
      <c r="O10" s="330"/>
      <c r="P10" s="330"/>
      <c r="Q10" s="331"/>
      <c r="R10" s="331"/>
      <c r="S10" s="331"/>
      <c r="T10" s="331"/>
      <c r="U10" s="331"/>
      <c r="V10" s="331"/>
      <c r="W10" s="331"/>
      <c r="X10" s="332"/>
      <c r="Y10" s="331"/>
      <c r="Z10" s="329"/>
      <c r="AA10" s="333"/>
      <c r="AB10" s="334"/>
      <c r="AC10" s="335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8"/>
      <c r="BC10" s="339"/>
      <c r="BD10" s="340"/>
      <c r="BE10" s="341"/>
    </row>
    <row r="11" spans="1:64" ht="15" customHeight="1" x14ac:dyDescent="0.3">
      <c r="A11" s="241" t="str">
        <f t="shared" si="0"/>
        <v/>
      </c>
      <c r="B11" s="371"/>
      <c r="C11" s="362"/>
      <c r="D11" s="363"/>
      <c r="E11" s="366"/>
      <c r="F11" s="347"/>
      <c r="G11" s="329"/>
      <c r="H11" s="329"/>
      <c r="I11" s="329"/>
      <c r="J11" s="329"/>
      <c r="K11" s="329"/>
      <c r="L11" s="329"/>
      <c r="M11" s="329"/>
      <c r="N11" s="329"/>
      <c r="O11" s="330"/>
      <c r="P11" s="330"/>
      <c r="Q11" s="331"/>
      <c r="R11" s="331"/>
      <c r="S11" s="331"/>
      <c r="T11" s="331"/>
      <c r="U11" s="331"/>
      <c r="V11" s="331"/>
      <c r="W11" s="331"/>
      <c r="X11" s="332"/>
      <c r="Y11" s="331"/>
      <c r="Z11" s="329"/>
      <c r="AA11" s="333"/>
      <c r="AB11" s="334"/>
      <c r="AC11" s="335"/>
      <c r="AD11" s="336"/>
      <c r="AE11" s="336"/>
      <c r="AF11" s="336"/>
      <c r="AG11" s="336"/>
      <c r="AH11" s="336"/>
      <c r="AI11" s="336"/>
      <c r="AJ11" s="336"/>
      <c r="AK11" s="336"/>
      <c r="AL11" s="336"/>
      <c r="AM11" s="336"/>
      <c r="AN11" s="336"/>
      <c r="AO11" s="336"/>
      <c r="AP11" s="337"/>
      <c r="AQ11" s="337"/>
      <c r="AR11" s="337"/>
      <c r="AS11" s="337"/>
      <c r="AT11" s="337"/>
      <c r="AU11" s="337"/>
      <c r="AV11" s="337"/>
      <c r="AW11" s="337"/>
      <c r="AX11" s="337"/>
      <c r="AY11" s="337"/>
      <c r="AZ11" s="337"/>
      <c r="BA11" s="337"/>
      <c r="BB11" s="338"/>
      <c r="BC11" s="339"/>
      <c r="BD11" s="340"/>
      <c r="BE11" s="341"/>
    </row>
    <row r="12" spans="1:64" ht="15" customHeight="1" x14ac:dyDescent="0.3">
      <c r="A12" s="241" t="str">
        <f t="shared" si="0"/>
        <v/>
      </c>
      <c r="B12" s="364"/>
      <c r="C12" s="362"/>
      <c r="D12" s="363"/>
      <c r="E12" s="366"/>
      <c r="F12" s="329"/>
      <c r="G12" s="329"/>
      <c r="H12" s="329"/>
      <c r="I12" s="329"/>
      <c r="J12" s="329"/>
      <c r="K12" s="329"/>
      <c r="L12" s="329"/>
      <c r="M12" s="329"/>
      <c r="N12" s="329"/>
      <c r="O12" s="330"/>
      <c r="P12" s="330"/>
      <c r="Q12" s="331"/>
      <c r="R12" s="331"/>
      <c r="S12" s="331"/>
      <c r="T12" s="331"/>
      <c r="U12" s="331"/>
      <c r="V12" s="331"/>
      <c r="W12" s="331"/>
      <c r="X12" s="332"/>
      <c r="Y12" s="331"/>
      <c r="Z12" s="329"/>
      <c r="AA12" s="333"/>
      <c r="AB12" s="334"/>
      <c r="AC12" s="335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8"/>
      <c r="BC12" s="339"/>
      <c r="BD12" s="340"/>
      <c r="BE12" s="341"/>
    </row>
    <row r="13" spans="1:64" ht="15" customHeight="1" x14ac:dyDescent="0.3">
      <c r="A13" s="241" t="str">
        <f t="shared" si="0"/>
        <v/>
      </c>
      <c r="B13" s="364"/>
      <c r="C13" s="362"/>
      <c r="D13" s="363"/>
      <c r="E13" s="366"/>
      <c r="F13" s="327"/>
      <c r="G13" s="329"/>
      <c r="H13" s="329"/>
      <c r="I13" s="329"/>
      <c r="J13" s="329"/>
      <c r="K13" s="329"/>
      <c r="L13" s="329"/>
      <c r="M13" s="329"/>
      <c r="N13" s="329"/>
      <c r="O13" s="330"/>
      <c r="P13" s="330"/>
      <c r="Q13" s="331"/>
      <c r="R13" s="331"/>
      <c r="S13" s="331"/>
      <c r="T13" s="331"/>
      <c r="U13" s="331"/>
      <c r="V13" s="331"/>
      <c r="W13" s="331"/>
      <c r="X13" s="332"/>
      <c r="Y13" s="331"/>
      <c r="Z13" s="329"/>
      <c r="AA13" s="333"/>
      <c r="AB13" s="334"/>
      <c r="AC13" s="335"/>
      <c r="AD13" s="336"/>
      <c r="AE13" s="336"/>
      <c r="AF13" s="336"/>
      <c r="AG13" s="336"/>
      <c r="AH13" s="336"/>
      <c r="AI13" s="336"/>
      <c r="AJ13" s="336"/>
      <c r="AK13" s="336"/>
      <c r="AL13" s="336"/>
      <c r="AM13" s="336"/>
      <c r="AN13" s="336"/>
      <c r="AO13" s="336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8"/>
      <c r="BC13" s="339"/>
      <c r="BD13" s="340"/>
      <c r="BE13" s="341"/>
    </row>
    <row r="14" spans="1:64" ht="15" customHeight="1" x14ac:dyDescent="0.3">
      <c r="A14" s="241" t="str">
        <f t="shared" si="0"/>
        <v/>
      </c>
      <c r="B14" s="364"/>
      <c r="C14" s="362"/>
      <c r="D14" s="363"/>
      <c r="E14" s="366"/>
      <c r="F14" s="329"/>
      <c r="G14" s="329"/>
      <c r="H14" s="329"/>
      <c r="I14" s="329"/>
      <c r="J14" s="329"/>
      <c r="K14" s="329"/>
      <c r="L14" s="329"/>
      <c r="M14" s="329"/>
      <c r="N14" s="329"/>
      <c r="O14" s="330"/>
      <c r="P14" s="330"/>
      <c r="Q14" s="331"/>
      <c r="R14" s="331"/>
      <c r="S14" s="331"/>
      <c r="T14" s="331"/>
      <c r="U14" s="331"/>
      <c r="V14" s="331"/>
      <c r="W14" s="331"/>
      <c r="X14" s="332"/>
      <c r="Y14" s="331"/>
      <c r="Z14" s="329"/>
      <c r="AA14" s="333"/>
      <c r="AB14" s="334"/>
      <c r="AC14" s="335"/>
      <c r="AD14" s="336"/>
      <c r="AE14" s="336"/>
      <c r="AF14" s="336"/>
      <c r="AG14" s="336"/>
      <c r="AH14" s="336"/>
      <c r="AI14" s="336"/>
      <c r="AJ14" s="336"/>
      <c r="AK14" s="336"/>
      <c r="AL14" s="336"/>
      <c r="AM14" s="336"/>
      <c r="AN14" s="336"/>
      <c r="AO14" s="336"/>
      <c r="AP14" s="337"/>
      <c r="AQ14" s="337"/>
      <c r="AR14" s="337"/>
      <c r="AS14" s="337"/>
      <c r="AT14" s="337"/>
      <c r="AU14" s="337"/>
      <c r="AV14" s="337"/>
      <c r="AW14" s="337"/>
      <c r="AX14" s="337"/>
      <c r="AY14" s="337"/>
      <c r="AZ14" s="337"/>
      <c r="BA14" s="337"/>
      <c r="BB14" s="338"/>
      <c r="BC14" s="339"/>
      <c r="BD14" s="340"/>
      <c r="BE14" s="341"/>
      <c r="BF14" s="377"/>
      <c r="BG14" s="377"/>
      <c r="BH14" s="377"/>
      <c r="BI14" s="377"/>
      <c r="BJ14" s="377"/>
      <c r="BK14" s="377"/>
      <c r="BL14" s="378"/>
    </row>
    <row r="15" spans="1:64" ht="14.25" customHeight="1" x14ac:dyDescent="0.3">
      <c r="A15" s="241" t="str">
        <f t="shared" si="0"/>
        <v/>
      </c>
      <c r="B15" s="371"/>
      <c r="C15" s="362"/>
      <c r="D15" s="363"/>
      <c r="E15" s="366"/>
      <c r="F15" s="327"/>
      <c r="G15" s="329"/>
      <c r="H15" s="329"/>
      <c r="I15" s="329"/>
      <c r="J15" s="329"/>
      <c r="K15" s="329"/>
      <c r="L15" s="329"/>
      <c r="M15" s="329"/>
      <c r="N15" s="329"/>
      <c r="O15" s="330"/>
      <c r="P15" s="330"/>
      <c r="Q15" s="331"/>
      <c r="R15" s="331"/>
      <c r="S15" s="331"/>
      <c r="T15" s="331"/>
      <c r="U15" s="331"/>
      <c r="V15" s="331"/>
      <c r="W15" s="331"/>
      <c r="X15" s="332"/>
      <c r="Y15" s="331"/>
      <c r="Z15" s="329"/>
      <c r="AA15" s="333"/>
      <c r="AB15" s="334"/>
      <c r="AC15" s="335"/>
      <c r="AD15" s="336"/>
      <c r="AE15" s="336"/>
      <c r="AF15" s="336"/>
      <c r="AG15" s="336"/>
      <c r="AH15" s="336"/>
      <c r="AI15" s="336"/>
      <c r="AJ15" s="336"/>
      <c r="AK15" s="336"/>
      <c r="AL15" s="336"/>
      <c r="AM15" s="336"/>
      <c r="AN15" s="336"/>
      <c r="AO15" s="336"/>
      <c r="AP15" s="337"/>
      <c r="AQ15" s="337"/>
      <c r="AR15" s="337"/>
      <c r="AS15" s="337"/>
      <c r="AT15" s="337"/>
      <c r="AU15" s="337"/>
      <c r="AV15" s="337"/>
      <c r="AW15" s="337"/>
      <c r="AX15" s="337"/>
      <c r="AY15" s="337"/>
      <c r="AZ15" s="337"/>
      <c r="BA15" s="337"/>
      <c r="BB15" s="338"/>
      <c r="BC15" s="339"/>
      <c r="BD15" s="340"/>
      <c r="BE15" s="341"/>
      <c r="BF15" s="377"/>
      <c r="BG15" s="377"/>
      <c r="BH15" s="377"/>
      <c r="BI15" s="377"/>
      <c r="BJ15" s="377"/>
      <c r="BK15" s="377"/>
      <c r="BL15" s="378"/>
    </row>
    <row r="16" spans="1:64" ht="15" customHeight="1" x14ac:dyDescent="0.3">
      <c r="A16" s="241" t="str">
        <f t="shared" si="0"/>
        <v/>
      </c>
      <c r="B16" s="371"/>
      <c r="C16" s="362"/>
      <c r="D16" s="363"/>
      <c r="E16" s="366"/>
      <c r="F16" s="347"/>
      <c r="G16" s="329"/>
      <c r="H16" s="329"/>
      <c r="I16" s="329"/>
      <c r="J16" s="329"/>
      <c r="K16" s="329"/>
      <c r="L16" s="329"/>
      <c r="M16" s="329"/>
      <c r="N16" s="329"/>
      <c r="O16" s="330"/>
      <c r="P16" s="330"/>
      <c r="Q16" s="331"/>
      <c r="R16" s="331"/>
      <c r="S16" s="331"/>
      <c r="T16" s="331"/>
      <c r="U16" s="331"/>
      <c r="V16" s="331"/>
      <c r="W16" s="331"/>
      <c r="X16" s="332"/>
      <c r="Y16" s="331"/>
      <c r="Z16" s="329"/>
      <c r="AA16" s="333"/>
      <c r="AB16" s="334"/>
      <c r="AC16" s="335"/>
      <c r="AD16" s="336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  <c r="AP16" s="337"/>
      <c r="AQ16" s="337"/>
      <c r="AR16" s="337"/>
      <c r="AS16" s="337"/>
      <c r="AT16" s="337"/>
      <c r="AU16" s="337"/>
      <c r="AV16" s="337"/>
      <c r="AW16" s="337"/>
      <c r="AX16" s="337"/>
      <c r="AY16" s="337"/>
      <c r="AZ16" s="337"/>
      <c r="BA16" s="337"/>
      <c r="BB16" s="338"/>
      <c r="BC16" s="339"/>
      <c r="BD16" s="340"/>
      <c r="BE16" s="341"/>
      <c r="BF16" s="377"/>
      <c r="BG16" s="377"/>
      <c r="BH16" s="377"/>
      <c r="BI16" s="377"/>
      <c r="BJ16" s="377"/>
      <c r="BK16" s="377"/>
      <c r="BL16" s="378"/>
    </row>
    <row r="17" spans="1:64" ht="15" customHeight="1" x14ac:dyDescent="0.3">
      <c r="A17" s="241" t="str">
        <f t="shared" si="0"/>
        <v/>
      </c>
      <c r="B17" s="371"/>
      <c r="C17" s="362"/>
      <c r="D17" s="363"/>
      <c r="E17" s="366"/>
      <c r="F17" s="347"/>
      <c r="G17" s="329"/>
      <c r="H17" s="329"/>
      <c r="I17" s="329"/>
      <c r="J17" s="329"/>
      <c r="K17" s="329"/>
      <c r="L17" s="329"/>
      <c r="M17" s="329"/>
      <c r="N17" s="329"/>
      <c r="O17" s="330"/>
      <c r="P17" s="330"/>
      <c r="Q17" s="331"/>
      <c r="R17" s="331"/>
      <c r="S17" s="331"/>
      <c r="T17" s="331"/>
      <c r="U17" s="331"/>
      <c r="V17" s="331"/>
      <c r="W17" s="331"/>
      <c r="X17" s="332"/>
      <c r="Y17" s="331"/>
      <c r="Z17" s="329"/>
      <c r="AA17" s="333"/>
      <c r="AB17" s="334"/>
      <c r="AC17" s="335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7"/>
      <c r="AQ17" s="337"/>
      <c r="AR17" s="337"/>
      <c r="AS17" s="337"/>
      <c r="AT17" s="337"/>
      <c r="AU17" s="337"/>
      <c r="AV17" s="337"/>
      <c r="AW17" s="337"/>
      <c r="AX17" s="337"/>
      <c r="AY17" s="337"/>
      <c r="AZ17" s="337"/>
      <c r="BA17" s="337"/>
      <c r="BB17" s="338"/>
      <c r="BC17" s="339"/>
      <c r="BD17" s="340"/>
      <c r="BE17" s="341"/>
      <c r="BF17" s="377"/>
      <c r="BG17" s="377"/>
      <c r="BH17" s="377"/>
      <c r="BI17" s="377"/>
      <c r="BJ17" s="377"/>
      <c r="BK17" s="377"/>
      <c r="BL17" s="378"/>
    </row>
    <row r="18" spans="1:64" ht="15" customHeight="1" x14ac:dyDescent="0.3">
      <c r="A18" s="241" t="str">
        <f t="shared" si="0"/>
        <v/>
      </c>
      <c r="B18" s="364"/>
      <c r="C18" s="362"/>
      <c r="D18" s="363"/>
      <c r="E18" s="366"/>
      <c r="F18" s="327"/>
      <c r="G18" s="329"/>
      <c r="H18" s="329"/>
      <c r="I18" s="329"/>
      <c r="J18" s="329"/>
      <c r="K18" s="329"/>
      <c r="L18" s="329"/>
      <c r="M18" s="329"/>
      <c r="N18" s="329"/>
      <c r="O18" s="330"/>
      <c r="P18" s="330"/>
      <c r="Q18" s="331"/>
      <c r="R18" s="331"/>
      <c r="S18" s="331"/>
      <c r="T18" s="331"/>
      <c r="U18" s="331"/>
      <c r="V18" s="331"/>
      <c r="W18" s="331"/>
      <c r="X18" s="332"/>
      <c r="Y18" s="331"/>
      <c r="Z18" s="329"/>
      <c r="AA18" s="333"/>
      <c r="AB18" s="334"/>
      <c r="AC18" s="335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7"/>
      <c r="AQ18" s="337"/>
      <c r="AR18" s="337"/>
      <c r="AS18" s="337"/>
      <c r="AT18" s="337"/>
      <c r="AU18" s="337"/>
      <c r="AV18" s="337"/>
      <c r="AW18" s="337"/>
      <c r="AX18" s="337"/>
      <c r="AY18" s="337"/>
      <c r="AZ18" s="337"/>
      <c r="BA18" s="337"/>
      <c r="BB18" s="338"/>
      <c r="BC18" s="339"/>
      <c r="BD18" s="340"/>
      <c r="BE18" s="341"/>
      <c r="BF18" s="377"/>
      <c r="BG18" s="377"/>
      <c r="BH18" s="377"/>
      <c r="BI18" s="377"/>
      <c r="BJ18" s="377"/>
      <c r="BK18" s="377"/>
      <c r="BL18" s="378"/>
    </row>
    <row r="19" spans="1:64" ht="15" customHeight="1" x14ac:dyDescent="0.3">
      <c r="A19" s="241" t="str">
        <f t="shared" si="0"/>
        <v/>
      </c>
      <c r="B19" s="364"/>
      <c r="C19" s="362"/>
      <c r="D19" s="363"/>
      <c r="E19" s="366"/>
      <c r="F19" s="329"/>
      <c r="G19" s="329"/>
      <c r="H19" s="329"/>
      <c r="I19" s="329"/>
      <c r="J19" s="329"/>
      <c r="K19" s="329"/>
      <c r="L19" s="329"/>
      <c r="M19" s="329"/>
      <c r="N19" s="329"/>
      <c r="O19" s="330"/>
      <c r="P19" s="330"/>
      <c r="Q19" s="331"/>
      <c r="R19" s="331"/>
      <c r="S19" s="331"/>
      <c r="T19" s="331"/>
      <c r="U19" s="331"/>
      <c r="V19" s="331"/>
      <c r="W19" s="331"/>
      <c r="X19" s="332"/>
      <c r="Y19" s="331"/>
      <c r="Z19" s="329"/>
      <c r="AA19" s="333"/>
      <c r="AB19" s="334"/>
      <c r="AC19" s="335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8"/>
      <c r="BC19" s="339"/>
      <c r="BD19" s="340"/>
      <c r="BE19" s="341"/>
      <c r="BF19" s="377"/>
      <c r="BG19" s="377"/>
      <c r="BH19" s="377"/>
      <c r="BI19" s="377"/>
      <c r="BJ19" s="377"/>
      <c r="BK19" s="377"/>
      <c r="BL19" s="378"/>
    </row>
    <row r="20" spans="1:64" ht="15" customHeight="1" x14ac:dyDescent="0.3">
      <c r="A20" s="241" t="str">
        <f t="shared" si="0"/>
        <v/>
      </c>
      <c r="B20" s="371"/>
      <c r="C20" s="362"/>
      <c r="D20" s="363"/>
      <c r="E20" s="366"/>
      <c r="F20" s="327"/>
      <c r="G20" s="329"/>
      <c r="H20" s="329"/>
      <c r="I20" s="329"/>
      <c r="J20" s="329"/>
      <c r="K20" s="329"/>
      <c r="L20" s="329"/>
      <c r="M20" s="329"/>
      <c r="N20" s="329"/>
      <c r="O20" s="330"/>
      <c r="P20" s="330"/>
      <c r="Q20" s="331"/>
      <c r="R20" s="331"/>
      <c r="S20" s="331"/>
      <c r="T20" s="331"/>
      <c r="U20" s="331"/>
      <c r="V20" s="331"/>
      <c r="W20" s="331"/>
      <c r="X20" s="332"/>
      <c r="Y20" s="331"/>
      <c r="Z20" s="329"/>
      <c r="AA20" s="333"/>
      <c r="AB20" s="334"/>
      <c r="AC20" s="335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337"/>
      <c r="AQ20" s="337"/>
      <c r="AR20" s="337"/>
      <c r="AS20" s="337"/>
      <c r="AT20" s="337"/>
      <c r="AU20" s="337"/>
      <c r="AV20" s="337"/>
      <c r="AW20" s="337"/>
      <c r="AX20" s="337"/>
      <c r="AY20" s="337"/>
      <c r="AZ20" s="337"/>
      <c r="BA20" s="337"/>
      <c r="BB20" s="338"/>
      <c r="BC20" s="339"/>
      <c r="BD20" s="340"/>
      <c r="BE20" s="341"/>
      <c r="BF20" s="377"/>
      <c r="BG20" s="377"/>
      <c r="BH20" s="377"/>
      <c r="BI20" s="377"/>
      <c r="BJ20" s="377"/>
      <c r="BK20" s="377"/>
      <c r="BL20" s="378"/>
    </row>
    <row r="21" spans="1:64" ht="15" customHeight="1" x14ac:dyDescent="0.3">
      <c r="A21" s="241" t="str">
        <f t="shared" si="0"/>
        <v/>
      </c>
      <c r="B21" s="371"/>
      <c r="C21" s="362"/>
      <c r="D21" s="363"/>
      <c r="E21" s="366"/>
      <c r="F21" s="327"/>
      <c r="G21" s="329"/>
      <c r="H21" s="329"/>
      <c r="I21" s="329"/>
      <c r="J21" s="329"/>
      <c r="K21" s="329"/>
      <c r="L21" s="329"/>
      <c r="M21" s="329"/>
      <c r="N21" s="329"/>
      <c r="O21" s="330"/>
      <c r="P21" s="330"/>
      <c r="Q21" s="331"/>
      <c r="R21" s="331"/>
      <c r="S21" s="331"/>
      <c r="T21" s="331"/>
      <c r="U21" s="331"/>
      <c r="V21" s="331"/>
      <c r="W21" s="331"/>
      <c r="X21" s="332"/>
      <c r="Y21" s="331"/>
      <c r="Z21" s="329"/>
      <c r="AA21" s="333"/>
      <c r="AB21" s="334"/>
      <c r="AC21" s="335"/>
      <c r="AD21" s="336"/>
      <c r="AE21" s="336"/>
      <c r="AF21" s="336"/>
      <c r="AG21" s="336"/>
      <c r="AH21" s="336"/>
      <c r="AI21" s="336"/>
      <c r="AJ21" s="336"/>
      <c r="AK21" s="336"/>
      <c r="AL21" s="336"/>
      <c r="AM21" s="336"/>
      <c r="AN21" s="336"/>
      <c r="AO21" s="336"/>
      <c r="AP21" s="337"/>
      <c r="AQ21" s="337"/>
      <c r="AR21" s="337"/>
      <c r="AS21" s="337"/>
      <c r="AT21" s="337"/>
      <c r="AU21" s="337"/>
      <c r="AV21" s="337"/>
      <c r="AW21" s="337"/>
      <c r="AX21" s="337"/>
      <c r="AY21" s="337"/>
      <c r="AZ21" s="337"/>
      <c r="BA21" s="337"/>
      <c r="BB21" s="338"/>
      <c r="BC21" s="339"/>
      <c r="BD21" s="340"/>
      <c r="BE21" s="341"/>
    </row>
    <row r="22" spans="1:64" ht="15" customHeight="1" x14ac:dyDescent="0.3">
      <c r="A22" s="241" t="str">
        <f t="shared" si="0"/>
        <v/>
      </c>
      <c r="B22" s="371"/>
      <c r="C22" s="362"/>
      <c r="D22" s="363"/>
      <c r="E22" s="366"/>
      <c r="F22" s="347"/>
      <c r="G22" s="329"/>
      <c r="H22" s="329"/>
      <c r="I22" s="329"/>
      <c r="J22" s="329"/>
      <c r="K22" s="329"/>
      <c r="L22" s="329"/>
      <c r="M22" s="329"/>
      <c r="N22" s="329"/>
      <c r="O22" s="330"/>
      <c r="P22" s="330"/>
      <c r="Q22" s="331"/>
      <c r="R22" s="331"/>
      <c r="S22" s="331"/>
      <c r="T22" s="331"/>
      <c r="U22" s="331"/>
      <c r="V22" s="331"/>
      <c r="W22" s="331"/>
      <c r="X22" s="332"/>
      <c r="Y22" s="331"/>
      <c r="Z22" s="329"/>
      <c r="AA22" s="333"/>
      <c r="AB22" s="334"/>
      <c r="AC22" s="335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8"/>
      <c r="BC22" s="339"/>
      <c r="BD22" s="340"/>
      <c r="BE22" s="341"/>
    </row>
    <row r="23" spans="1:64" ht="15" customHeight="1" x14ac:dyDescent="0.3">
      <c r="A23" s="241" t="str">
        <f t="shared" si="0"/>
        <v/>
      </c>
      <c r="B23" s="364"/>
      <c r="C23" s="362"/>
      <c r="D23" s="363"/>
      <c r="E23" s="365"/>
      <c r="F23" s="327"/>
      <c r="G23" s="329"/>
      <c r="H23" s="329"/>
      <c r="I23" s="329"/>
      <c r="J23" s="329"/>
      <c r="K23" s="329"/>
      <c r="L23" s="329"/>
      <c r="M23" s="329"/>
      <c r="N23" s="329"/>
      <c r="O23" s="330"/>
      <c r="P23" s="330"/>
      <c r="Q23" s="331"/>
      <c r="R23" s="331"/>
      <c r="S23" s="331"/>
      <c r="T23" s="331"/>
      <c r="U23" s="331"/>
      <c r="V23" s="331"/>
      <c r="W23" s="331"/>
      <c r="X23" s="332"/>
      <c r="Y23" s="331"/>
      <c r="Z23" s="329"/>
      <c r="AA23" s="333"/>
      <c r="AB23" s="334"/>
      <c r="AC23" s="335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7"/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8"/>
      <c r="BC23" s="339"/>
      <c r="BD23" s="340"/>
      <c r="BE23" s="341"/>
    </row>
    <row r="24" spans="1:64" ht="15" customHeight="1" x14ac:dyDescent="0.3">
      <c r="A24" s="241" t="str">
        <f t="shared" si="0"/>
        <v/>
      </c>
      <c r="B24" s="364"/>
      <c r="C24" s="362"/>
      <c r="D24" s="363"/>
      <c r="E24" s="366"/>
      <c r="F24" s="329"/>
      <c r="G24" s="329"/>
      <c r="H24" s="329"/>
      <c r="I24" s="329"/>
      <c r="J24" s="329"/>
      <c r="K24" s="329"/>
      <c r="L24" s="329"/>
      <c r="M24" s="329"/>
      <c r="N24" s="329"/>
      <c r="O24" s="330"/>
      <c r="P24" s="330"/>
      <c r="Q24" s="331"/>
      <c r="R24" s="331"/>
      <c r="S24" s="331"/>
      <c r="T24" s="331"/>
      <c r="U24" s="331"/>
      <c r="V24" s="331"/>
      <c r="W24" s="331"/>
      <c r="X24" s="332"/>
      <c r="Y24" s="331"/>
      <c r="Z24" s="329"/>
      <c r="AA24" s="333"/>
      <c r="AB24" s="334"/>
      <c r="AC24" s="335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6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8"/>
      <c r="BC24" s="339"/>
      <c r="BD24" s="340"/>
      <c r="BE24" s="341"/>
    </row>
    <row r="25" spans="1:64" ht="15" customHeight="1" x14ac:dyDescent="0.3">
      <c r="A25" s="241" t="str">
        <f t="shared" si="0"/>
        <v/>
      </c>
      <c r="B25" s="371"/>
      <c r="C25" s="362"/>
      <c r="D25" s="363"/>
      <c r="E25" s="366"/>
      <c r="F25" s="327"/>
      <c r="G25" s="329"/>
      <c r="H25" s="329"/>
      <c r="I25" s="329"/>
      <c r="J25" s="329"/>
      <c r="K25" s="329"/>
      <c r="L25" s="329"/>
      <c r="M25" s="329"/>
      <c r="N25" s="329"/>
      <c r="O25" s="330"/>
      <c r="P25" s="330"/>
      <c r="Q25" s="331"/>
      <c r="R25" s="331"/>
      <c r="S25" s="331"/>
      <c r="T25" s="331"/>
      <c r="U25" s="331"/>
      <c r="V25" s="331"/>
      <c r="W25" s="331"/>
      <c r="X25" s="332"/>
      <c r="Y25" s="331"/>
      <c r="Z25" s="329"/>
      <c r="AA25" s="333"/>
      <c r="AB25" s="334"/>
      <c r="AC25" s="335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7"/>
      <c r="AQ25" s="337"/>
      <c r="AR25" s="337"/>
      <c r="AS25" s="337"/>
      <c r="AT25" s="337"/>
      <c r="AU25" s="337"/>
      <c r="AV25" s="337"/>
      <c r="AW25" s="337"/>
      <c r="AX25" s="337"/>
      <c r="AY25" s="337"/>
      <c r="AZ25" s="337"/>
      <c r="BA25" s="337"/>
      <c r="BB25" s="338"/>
      <c r="BC25" s="339"/>
      <c r="BD25" s="340"/>
      <c r="BE25" s="341"/>
    </row>
    <row r="26" spans="1:64" ht="15" customHeight="1" x14ac:dyDescent="0.3">
      <c r="A26" s="241" t="str">
        <f t="shared" si="0"/>
        <v/>
      </c>
      <c r="B26" s="371"/>
      <c r="C26" s="362"/>
      <c r="D26" s="363"/>
      <c r="E26" s="366"/>
      <c r="F26" s="347"/>
      <c r="G26" s="329"/>
      <c r="H26" s="329"/>
      <c r="I26" s="329"/>
      <c r="J26" s="329"/>
      <c r="K26" s="329"/>
      <c r="L26" s="329"/>
      <c r="M26" s="329"/>
      <c r="N26" s="329"/>
      <c r="O26" s="330"/>
      <c r="P26" s="330"/>
      <c r="Q26" s="331"/>
      <c r="R26" s="331"/>
      <c r="S26" s="331"/>
      <c r="T26" s="331"/>
      <c r="U26" s="331"/>
      <c r="V26" s="331"/>
      <c r="W26" s="331"/>
      <c r="X26" s="332"/>
      <c r="Y26" s="331"/>
      <c r="Z26" s="329"/>
      <c r="AA26" s="333"/>
      <c r="AB26" s="334"/>
      <c r="AC26" s="335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  <c r="AP26" s="337"/>
      <c r="AQ26" s="337"/>
      <c r="AR26" s="337"/>
      <c r="AS26" s="337"/>
      <c r="AT26" s="337"/>
      <c r="AU26" s="337"/>
      <c r="AV26" s="337"/>
      <c r="AW26" s="337"/>
      <c r="AX26" s="337"/>
      <c r="AY26" s="337"/>
      <c r="AZ26" s="337"/>
      <c r="BA26" s="337"/>
      <c r="BB26" s="338"/>
      <c r="BC26" s="339"/>
      <c r="BD26" s="340"/>
      <c r="BE26" s="341"/>
    </row>
    <row r="27" spans="1:64" ht="15" customHeight="1" x14ac:dyDescent="0.3">
      <c r="A27" s="241" t="str">
        <f t="shared" si="0"/>
        <v/>
      </c>
      <c r="B27" s="371"/>
      <c r="C27" s="362"/>
      <c r="D27" s="363"/>
      <c r="E27" s="366"/>
      <c r="F27" s="347"/>
      <c r="G27" s="329"/>
      <c r="H27" s="329"/>
      <c r="I27" s="329"/>
      <c r="J27" s="329"/>
      <c r="K27" s="329"/>
      <c r="L27" s="329"/>
      <c r="M27" s="329"/>
      <c r="N27" s="329"/>
      <c r="O27" s="330"/>
      <c r="P27" s="330"/>
      <c r="Q27" s="331"/>
      <c r="R27" s="331"/>
      <c r="S27" s="331"/>
      <c r="T27" s="331"/>
      <c r="U27" s="331"/>
      <c r="V27" s="331"/>
      <c r="W27" s="331"/>
      <c r="X27" s="332"/>
      <c r="Y27" s="331"/>
      <c r="Z27" s="329"/>
      <c r="AA27" s="333"/>
      <c r="AB27" s="334"/>
      <c r="AC27" s="335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7"/>
      <c r="AQ27" s="337"/>
      <c r="AR27" s="337"/>
      <c r="AS27" s="337"/>
      <c r="AT27" s="337"/>
      <c r="AU27" s="337"/>
      <c r="AV27" s="337"/>
      <c r="AW27" s="337"/>
      <c r="AX27" s="337"/>
      <c r="AY27" s="337"/>
      <c r="AZ27" s="337"/>
      <c r="BA27" s="337"/>
      <c r="BB27" s="338"/>
      <c r="BC27" s="339"/>
      <c r="BD27" s="340"/>
      <c r="BE27" s="341"/>
    </row>
    <row r="28" spans="1:64" ht="15" customHeight="1" x14ac:dyDescent="0.3">
      <c r="A28" s="241" t="str">
        <f t="shared" si="0"/>
        <v/>
      </c>
      <c r="B28" s="364"/>
      <c r="C28" s="362"/>
      <c r="D28" s="363"/>
      <c r="E28" s="366"/>
      <c r="F28" s="327"/>
      <c r="G28" s="329"/>
      <c r="H28" s="329"/>
      <c r="I28" s="329"/>
      <c r="J28" s="329"/>
      <c r="K28" s="329"/>
      <c r="L28" s="329"/>
      <c r="M28" s="329"/>
      <c r="N28" s="329"/>
      <c r="O28" s="330"/>
      <c r="P28" s="330"/>
      <c r="Q28" s="331"/>
      <c r="R28" s="331"/>
      <c r="S28" s="331"/>
      <c r="T28" s="331"/>
      <c r="U28" s="331"/>
      <c r="V28" s="331"/>
      <c r="W28" s="331"/>
      <c r="X28" s="332"/>
      <c r="Y28" s="331"/>
      <c r="Z28" s="329"/>
      <c r="AA28" s="333"/>
      <c r="AB28" s="334"/>
      <c r="AC28" s="335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7"/>
      <c r="AQ28" s="337"/>
      <c r="AR28" s="337"/>
      <c r="AS28" s="337"/>
      <c r="AT28" s="337"/>
      <c r="AU28" s="337"/>
      <c r="AV28" s="337"/>
      <c r="AW28" s="337"/>
      <c r="AX28" s="337"/>
      <c r="AY28" s="337"/>
      <c r="AZ28" s="337"/>
      <c r="BA28" s="337"/>
      <c r="BB28" s="338"/>
      <c r="BC28" s="339"/>
      <c r="BD28" s="340"/>
      <c r="BE28" s="341"/>
    </row>
    <row r="29" spans="1:64" ht="15" customHeight="1" x14ac:dyDescent="0.3">
      <c r="A29" s="241" t="str">
        <f t="shared" si="0"/>
        <v/>
      </c>
      <c r="B29" s="364"/>
      <c r="C29" s="362"/>
      <c r="D29" s="363"/>
      <c r="E29" s="366"/>
      <c r="F29" s="347"/>
      <c r="G29" s="329"/>
      <c r="H29" s="329"/>
      <c r="I29" s="329"/>
      <c r="J29" s="329"/>
      <c r="K29" s="329"/>
      <c r="L29" s="329"/>
      <c r="M29" s="329"/>
      <c r="N29" s="329"/>
      <c r="O29" s="330"/>
      <c r="P29" s="330"/>
      <c r="Q29" s="331"/>
      <c r="R29" s="331"/>
      <c r="S29" s="331"/>
      <c r="T29" s="331"/>
      <c r="U29" s="331"/>
      <c r="V29" s="331"/>
      <c r="W29" s="331"/>
      <c r="X29" s="332"/>
      <c r="Y29" s="331"/>
      <c r="Z29" s="329"/>
      <c r="AA29" s="333"/>
      <c r="AB29" s="334"/>
      <c r="AC29" s="335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7"/>
      <c r="AQ29" s="337"/>
      <c r="AR29" s="337"/>
      <c r="AS29" s="337"/>
      <c r="AT29" s="337"/>
      <c r="AU29" s="337"/>
      <c r="AV29" s="337"/>
      <c r="AW29" s="337"/>
      <c r="AX29" s="337"/>
      <c r="AY29" s="337"/>
      <c r="AZ29" s="337"/>
      <c r="BA29" s="337"/>
      <c r="BB29" s="338"/>
      <c r="BC29" s="339"/>
      <c r="BD29" s="340"/>
      <c r="BE29" s="341"/>
    </row>
    <row r="30" spans="1:64" ht="15" customHeight="1" x14ac:dyDescent="0.3">
      <c r="A30" s="241" t="str">
        <f t="shared" si="0"/>
        <v/>
      </c>
      <c r="B30" s="371"/>
      <c r="C30" s="362"/>
      <c r="D30" s="363"/>
      <c r="E30" s="366"/>
      <c r="F30" s="327"/>
      <c r="G30" s="329"/>
      <c r="H30" s="329"/>
      <c r="I30" s="329"/>
      <c r="J30" s="329"/>
      <c r="K30" s="329"/>
      <c r="L30" s="329"/>
      <c r="M30" s="329"/>
      <c r="N30" s="329"/>
      <c r="O30" s="330"/>
      <c r="P30" s="330"/>
      <c r="Q30" s="331"/>
      <c r="R30" s="331"/>
      <c r="S30" s="331"/>
      <c r="T30" s="331"/>
      <c r="U30" s="331"/>
      <c r="V30" s="331"/>
      <c r="W30" s="331"/>
      <c r="X30" s="332"/>
      <c r="Y30" s="331"/>
      <c r="Z30" s="329"/>
      <c r="AA30" s="333"/>
      <c r="AB30" s="334"/>
      <c r="AC30" s="335"/>
      <c r="AD30" s="336"/>
      <c r="AE30" s="336"/>
      <c r="AF30" s="336"/>
      <c r="AG30" s="336"/>
      <c r="AH30" s="336"/>
      <c r="AI30" s="336"/>
      <c r="AJ30" s="336"/>
      <c r="AK30" s="336"/>
      <c r="AL30" s="336"/>
      <c r="AM30" s="336"/>
      <c r="AN30" s="336"/>
      <c r="AO30" s="336"/>
      <c r="AP30" s="337"/>
      <c r="AQ30" s="337"/>
      <c r="AR30" s="337"/>
      <c r="AS30" s="337"/>
      <c r="AT30" s="337"/>
      <c r="AU30" s="337"/>
      <c r="AV30" s="337"/>
      <c r="AW30" s="337"/>
      <c r="AX30" s="337"/>
      <c r="AY30" s="337"/>
      <c r="AZ30" s="337"/>
      <c r="BA30" s="337"/>
      <c r="BB30" s="338"/>
      <c r="BC30" s="339"/>
      <c r="BD30" s="340"/>
      <c r="BE30" s="341"/>
    </row>
    <row r="31" spans="1:64" ht="15" customHeight="1" x14ac:dyDescent="0.3">
      <c r="A31" s="241" t="str">
        <f t="shared" si="0"/>
        <v/>
      </c>
      <c r="B31" s="364"/>
      <c r="C31" s="362"/>
      <c r="D31" s="363"/>
      <c r="E31" s="366"/>
      <c r="F31" s="327"/>
      <c r="G31" s="329"/>
      <c r="H31" s="329"/>
      <c r="I31" s="329"/>
      <c r="J31" s="329"/>
      <c r="K31" s="329"/>
      <c r="L31" s="329"/>
      <c r="M31" s="329"/>
      <c r="N31" s="329"/>
      <c r="O31" s="330"/>
      <c r="P31" s="330"/>
      <c r="Q31" s="331"/>
      <c r="R31" s="331"/>
      <c r="S31" s="331"/>
      <c r="T31" s="331"/>
      <c r="U31" s="331"/>
      <c r="V31" s="331"/>
      <c r="W31" s="331"/>
      <c r="X31" s="332"/>
      <c r="Y31" s="331"/>
      <c r="Z31" s="329"/>
      <c r="AA31" s="333"/>
      <c r="AB31" s="334"/>
      <c r="AC31" s="335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  <c r="AP31" s="337"/>
      <c r="AQ31" s="337"/>
      <c r="AR31" s="337"/>
      <c r="AS31" s="337"/>
      <c r="AT31" s="337"/>
      <c r="AU31" s="337"/>
      <c r="AV31" s="337"/>
      <c r="AW31" s="337"/>
      <c r="AX31" s="337"/>
      <c r="AY31" s="337"/>
      <c r="AZ31" s="337"/>
      <c r="BA31" s="337"/>
      <c r="BB31" s="338"/>
      <c r="BC31" s="339"/>
      <c r="BD31" s="340"/>
      <c r="BE31" s="341"/>
    </row>
    <row r="32" spans="1:64" ht="14.25" customHeight="1" x14ac:dyDescent="0.3">
      <c r="A32" s="241" t="str">
        <f t="shared" si="0"/>
        <v/>
      </c>
      <c r="B32" s="371"/>
      <c r="C32" s="362"/>
      <c r="D32" s="363"/>
      <c r="E32" s="366"/>
      <c r="F32" s="347"/>
      <c r="G32" s="329"/>
      <c r="H32" s="329"/>
      <c r="I32" s="329"/>
      <c r="J32" s="329"/>
      <c r="K32" s="329"/>
      <c r="L32" s="329"/>
      <c r="M32" s="329"/>
      <c r="N32" s="329"/>
      <c r="O32" s="330"/>
      <c r="P32" s="330"/>
      <c r="Q32" s="331"/>
      <c r="R32" s="331"/>
      <c r="S32" s="331"/>
      <c r="T32" s="331"/>
      <c r="U32" s="331"/>
      <c r="V32" s="331"/>
      <c r="W32" s="331"/>
      <c r="X32" s="332"/>
      <c r="Y32" s="331"/>
      <c r="Z32" s="329"/>
      <c r="AA32" s="333"/>
      <c r="AB32" s="334"/>
      <c r="AC32" s="335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  <c r="AP32" s="337"/>
      <c r="AQ32" s="337"/>
      <c r="AR32" s="337"/>
      <c r="AS32" s="337"/>
      <c r="AT32" s="337"/>
      <c r="AU32" s="337"/>
      <c r="AV32" s="337"/>
      <c r="AW32" s="337"/>
      <c r="AX32" s="337"/>
      <c r="AY32" s="337"/>
      <c r="AZ32" s="337"/>
      <c r="BA32" s="337"/>
      <c r="BB32" s="338"/>
      <c r="BC32" s="339"/>
      <c r="BD32" s="340"/>
      <c r="BE32" s="341"/>
    </row>
    <row r="33" spans="1:64" ht="15" customHeight="1" x14ac:dyDescent="0.3">
      <c r="A33" s="241" t="str">
        <f t="shared" si="0"/>
        <v/>
      </c>
      <c r="B33" s="372"/>
      <c r="C33" s="373"/>
      <c r="D33" s="363"/>
      <c r="E33" s="365"/>
      <c r="F33" s="327"/>
      <c r="G33" s="329"/>
      <c r="H33" s="329"/>
      <c r="I33" s="329"/>
      <c r="J33" s="329"/>
      <c r="K33" s="329"/>
      <c r="L33" s="329"/>
      <c r="M33" s="329"/>
      <c r="N33" s="329"/>
      <c r="O33" s="330"/>
      <c r="P33" s="330"/>
      <c r="Q33" s="331"/>
      <c r="R33" s="331"/>
      <c r="S33" s="331"/>
      <c r="T33" s="331"/>
      <c r="U33" s="331"/>
      <c r="V33" s="331"/>
      <c r="W33" s="331"/>
      <c r="X33" s="332"/>
      <c r="Y33" s="331"/>
      <c r="Z33" s="329"/>
      <c r="AA33" s="333"/>
      <c r="AB33" s="334"/>
      <c r="AC33" s="335"/>
      <c r="AD33" s="336"/>
      <c r="AE33" s="336"/>
      <c r="AF33" s="336"/>
      <c r="AG33" s="336"/>
      <c r="AH33" s="336"/>
      <c r="AI33" s="336"/>
      <c r="AJ33" s="336"/>
      <c r="AK33" s="336"/>
      <c r="AL33" s="336"/>
      <c r="AM33" s="336"/>
      <c r="AN33" s="336"/>
      <c r="AO33" s="336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8"/>
      <c r="BC33" s="339"/>
      <c r="BD33" s="340"/>
      <c r="BE33" s="341"/>
      <c r="BF33" s="377"/>
      <c r="BG33" s="377"/>
      <c r="BH33" s="377"/>
      <c r="BI33" s="377"/>
      <c r="BJ33" s="377"/>
      <c r="BK33" s="377"/>
      <c r="BL33" s="378"/>
    </row>
    <row r="34" spans="1:64" ht="15" customHeight="1" x14ac:dyDescent="0.3">
      <c r="A34" s="241" t="str">
        <f t="shared" si="0"/>
        <v/>
      </c>
      <c r="B34" s="372"/>
      <c r="C34" s="373"/>
      <c r="D34" s="363"/>
      <c r="E34" s="365"/>
      <c r="F34" s="327"/>
      <c r="G34" s="329"/>
      <c r="H34" s="329"/>
      <c r="I34" s="329"/>
      <c r="J34" s="329"/>
      <c r="K34" s="329"/>
      <c r="L34" s="329"/>
      <c r="M34" s="329"/>
      <c r="N34" s="329"/>
      <c r="O34" s="330"/>
      <c r="P34" s="330"/>
      <c r="Q34" s="331"/>
      <c r="R34" s="331"/>
      <c r="S34" s="331"/>
      <c r="T34" s="331"/>
      <c r="U34" s="331"/>
      <c r="V34" s="331"/>
      <c r="W34" s="331"/>
      <c r="X34" s="332"/>
      <c r="Y34" s="331"/>
      <c r="Z34" s="329"/>
      <c r="AA34" s="333"/>
      <c r="AB34" s="334"/>
      <c r="AC34" s="335"/>
      <c r="AD34" s="336"/>
      <c r="AE34" s="336"/>
      <c r="AF34" s="336"/>
      <c r="AG34" s="336"/>
      <c r="AH34" s="336"/>
      <c r="AI34" s="336"/>
      <c r="AJ34" s="336"/>
      <c r="AK34" s="336"/>
      <c r="AL34" s="336"/>
      <c r="AM34" s="336"/>
      <c r="AN34" s="336"/>
      <c r="AO34" s="336"/>
      <c r="AP34" s="337"/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8"/>
      <c r="BC34" s="339"/>
      <c r="BD34" s="340"/>
      <c r="BE34" s="341"/>
    </row>
    <row r="35" spans="1:64" ht="15" customHeight="1" x14ac:dyDescent="0.3">
      <c r="A35" s="241" t="str">
        <f t="shared" si="0"/>
        <v/>
      </c>
      <c r="B35" s="364"/>
      <c r="C35" s="362"/>
      <c r="D35" s="363"/>
      <c r="E35" s="366"/>
      <c r="F35" s="327"/>
      <c r="G35" s="329"/>
      <c r="H35" s="329"/>
      <c r="I35" s="329"/>
      <c r="J35" s="329"/>
      <c r="K35" s="329"/>
      <c r="L35" s="329"/>
      <c r="M35" s="329"/>
      <c r="N35" s="329"/>
      <c r="O35" s="330"/>
      <c r="P35" s="330"/>
      <c r="Q35" s="331"/>
      <c r="R35" s="331"/>
      <c r="S35" s="331"/>
      <c r="T35" s="331"/>
      <c r="U35" s="331"/>
      <c r="V35" s="331"/>
      <c r="W35" s="331"/>
      <c r="X35" s="332"/>
      <c r="Y35" s="331"/>
      <c r="Z35" s="329"/>
      <c r="AA35" s="333"/>
      <c r="AB35" s="334"/>
      <c r="AC35" s="335"/>
      <c r="AD35" s="336"/>
      <c r="AE35" s="336"/>
      <c r="AF35" s="336"/>
      <c r="AG35" s="336"/>
      <c r="AH35" s="336"/>
      <c r="AI35" s="336"/>
      <c r="AJ35" s="336"/>
      <c r="AK35" s="336"/>
      <c r="AL35" s="336"/>
      <c r="AM35" s="336"/>
      <c r="AN35" s="336"/>
      <c r="AO35" s="336"/>
      <c r="AP35" s="337"/>
      <c r="AQ35" s="337"/>
      <c r="AR35" s="337"/>
      <c r="AS35" s="337"/>
      <c r="AT35" s="337"/>
      <c r="AU35" s="337"/>
      <c r="AV35" s="337"/>
      <c r="AW35" s="337"/>
      <c r="AX35" s="337"/>
      <c r="AY35" s="337"/>
      <c r="AZ35" s="337"/>
      <c r="BA35" s="337"/>
      <c r="BB35" s="338"/>
      <c r="BC35" s="339"/>
      <c r="BD35" s="340"/>
      <c r="BE35" s="341"/>
    </row>
    <row r="36" spans="1:64" ht="15" customHeight="1" x14ac:dyDescent="0.3">
      <c r="A36" s="241" t="str">
        <f t="shared" si="0"/>
        <v/>
      </c>
      <c r="B36" s="364"/>
      <c r="C36" s="362"/>
      <c r="D36" s="363"/>
      <c r="E36" s="366"/>
      <c r="F36" s="329"/>
      <c r="G36" s="329"/>
      <c r="H36" s="329"/>
      <c r="I36" s="329"/>
      <c r="J36" s="329"/>
      <c r="K36" s="329"/>
      <c r="L36" s="329"/>
      <c r="M36" s="329"/>
      <c r="N36" s="329"/>
      <c r="O36" s="330"/>
      <c r="P36" s="330"/>
      <c r="Q36" s="331"/>
      <c r="R36" s="331"/>
      <c r="S36" s="331"/>
      <c r="T36" s="331"/>
      <c r="U36" s="331"/>
      <c r="V36" s="331"/>
      <c r="W36" s="331"/>
      <c r="X36" s="332"/>
      <c r="Y36" s="331"/>
      <c r="Z36" s="329"/>
      <c r="AA36" s="333"/>
      <c r="AB36" s="334"/>
      <c r="AC36" s="335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7"/>
      <c r="AQ36" s="337"/>
      <c r="AR36" s="337"/>
      <c r="AS36" s="337"/>
      <c r="AT36" s="337"/>
      <c r="AU36" s="337"/>
      <c r="AV36" s="337"/>
      <c r="AW36" s="337"/>
      <c r="AX36" s="337"/>
      <c r="AY36" s="337"/>
      <c r="AZ36" s="337"/>
      <c r="BA36" s="337"/>
      <c r="BB36" s="338"/>
      <c r="BC36" s="339"/>
      <c r="BD36" s="340"/>
      <c r="BE36" s="341"/>
    </row>
    <row r="37" spans="1:64" ht="15" customHeight="1" x14ac:dyDescent="0.3">
      <c r="A37" s="241" t="str">
        <f t="shared" si="0"/>
        <v/>
      </c>
      <c r="B37" s="364"/>
      <c r="C37" s="362"/>
      <c r="D37" s="363"/>
      <c r="E37" s="366"/>
      <c r="F37" s="327"/>
      <c r="G37" s="329"/>
      <c r="H37" s="329"/>
      <c r="I37" s="329"/>
      <c r="J37" s="329"/>
      <c r="K37" s="329"/>
      <c r="L37" s="329"/>
      <c r="M37" s="329"/>
      <c r="N37" s="329"/>
      <c r="O37" s="330"/>
      <c r="P37" s="330"/>
      <c r="Q37" s="331"/>
      <c r="R37" s="331"/>
      <c r="S37" s="331"/>
      <c r="T37" s="331"/>
      <c r="U37" s="331"/>
      <c r="V37" s="331"/>
      <c r="W37" s="331"/>
      <c r="X37" s="332"/>
      <c r="Y37" s="331"/>
      <c r="Z37" s="329"/>
      <c r="AA37" s="333"/>
      <c r="AB37" s="334"/>
      <c r="AC37" s="335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7"/>
      <c r="AQ37" s="337"/>
      <c r="AR37" s="337"/>
      <c r="AS37" s="337"/>
      <c r="AT37" s="337"/>
      <c r="AU37" s="337"/>
      <c r="AV37" s="337"/>
      <c r="AW37" s="337"/>
      <c r="AX37" s="337"/>
      <c r="AY37" s="337"/>
      <c r="AZ37" s="337"/>
      <c r="BA37" s="337"/>
      <c r="BB37" s="338"/>
      <c r="BC37" s="339"/>
      <c r="BD37" s="340"/>
      <c r="BE37" s="341"/>
    </row>
    <row r="38" spans="1:64" ht="14.25" customHeight="1" x14ac:dyDescent="0.3">
      <c r="A38" s="241" t="str">
        <f t="shared" si="0"/>
        <v/>
      </c>
      <c r="B38" s="371"/>
      <c r="C38" s="362"/>
      <c r="D38" s="363"/>
      <c r="E38" s="366"/>
      <c r="F38" s="347"/>
      <c r="G38" s="329"/>
      <c r="H38" s="329"/>
      <c r="I38" s="329"/>
      <c r="J38" s="329"/>
      <c r="K38" s="329"/>
      <c r="L38" s="329"/>
      <c r="M38" s="329"/>
      <c r="N38" s="329"/>
      <c r="O38" s="330"/>
      <c r="P38" s="330"/>
      <c r="Q38" s="331"/>
      <c r="R38" s="331"/>
      <c r="S38" s="331"/>
      <c r="T38" s="331"/>
      <c r="U38" s="331"/>
      <c r="V38" s="331"/>
      <c r="W38" s="331"/>
      <c r="X38" s="332"/>
      <c r="Y38" s="331"/>
      <c r="Z38" s="329"/>
      <c r="AA38" s="333"/>
      <c r="AB38" s="334"/>
      <c r="AC38" s="335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7"/>
      <c r="AQ38" s="337"/>
      <c r="AR38" s="337"/>
      <c r="AS38" s="337"/>
      <c r="AT38" s="337"/>
      <c r="AU38" s="337"/>
      <c r="AV38" s="337"/>
      <c r="AW38" s="337"/>
      <c r="AX38" s="337"/>
      <c r="AY38" s="337"/>
      <c r="AZ38" s="337"/>
      <c r="BA38" s="337"/>
      <c r="BB38" s="338"/>
      <c r="BC38" s="339"/>
      <c r="BD38" s="340"/>
      <c r="BE38" s="341"/>
      <c r="BF38" s="176"/>
      <c r="BG38" s="176"/>
      <c r="BH38" s="176"/>
      <c r="BI38" s="176"/>
      <c r="BJ38" s="176"/>
      <c r="BK38" s="176"/>
      <c r="BL38" s="176"/>
    </row>
    <row r="39" spans="1:64" ht="15" customHeight="1" x14ac:dyDescent="0.3">
      <c r="A39" s="241" t="str">
        <f t="shared" si="0"/>
        <v/>
      </c>
      <c r="B39" s="371"/>
      <c r="C39" s="374"/>
      <c r="D39" s="363"/>
      <c r="E39" s="366"/>
      <c r="F39" s="327"/>
      <c r="G39" s="329"/>
      <c r="H39" s="329"/>
      <c r="I39" s="329"/>
      <c r="J39" s="329"/>
      <c r="K39" s="329"/>
      <c r="L39" s="329"/>
      <c r="M39" s="329"/>
      <c r="N39" s="329"/>
      <c r="O39" s="330"/>
      <c r="P39" s="330"/>
      <c r="Q39" s="331"/>
      <c r="R39" s="331"/>
      <c r="S39" s="331"/>
      <c r="T39" s="331"/>
      <c r="U39" s="331"/>
      <c r="V39" s="331"/>
      <c r="W39" s="331"/>
      <c r="X39" s="332"/>
      <c r="Y39" s="331"/>
      <c r="Z39" s="329"/>
      <c r="AA39" s="333"/>
      <c r="AB39" s="334"/>
      <c r="AC39" s="335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8"/>
      <c r="BC39" s="339"/>
      <c r="BD39" s="340"/>
      <c r="BE39" s="341"/>
    </row>
    <row r="40" spans="1:64" ht="15" customHeight="1" x14ac:dyDescent="0.3">
      <c r="A40" s="241" t="str">
        <f t="shared" si="0"/>
        <v/>
      </c>
      <c r="B40" s="364"/>
      <c r="C40" s="362"/>
      <c r="D40" s="363"/>
      <c r="E40" s="366"/>
      <c r="F40" s="327"/>
      <c r="G40" s="329"/>
      <c r="H40" s="329"/>
      <c r="I40" s="329"/>
      <c r="J40" s="329"/>
      <c r="K40" s="329"/>
      <c r="L40" s="329"/>
      <c r="M40" s="329"/>
      <c r="N40" s="329"/>
      <c r="O40" s="330"/>
      <c r="P40" s="330"/>
      <c r="Q40" s="331"/>
      <c r="R40" s="331"/>
      <c r="S40" s="331"/>
      <c r="T40" s="331"/>
      <c r="U40" s="331"/>
      <c r="V40" s="331"/>
      <c r="W40" s="331"/>
      <c r="X40" s="332"/>
      <c r="Y40" s="331"/>
      <c r="Z40" s="329"/>
      <c r="AA40" s="333"/>
      <c r="AB40" s="334"/>
      <c r="AC40" s="335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7"/>
      <c r="AQ40" s="337"/>
      <c r="AR40" s="337"/>
      <c r="AS40" s="337"/>
      <c r="AT40" s="337"/>
      <c r="AU40" s="337"/>
      <c r="AV40" s="337"/>
      <c r="AW40" s="337"/>
      <c r="AX40" s="337"/>
      <c r="AY40" s="337"/>
      <c r="AZ40" s="337"/>
      <c r="BA40" s="337"/>
      <c r="BB40" s="338"/>
      <c r="BC40" s="339"/>
      <c r="BD40" s="340"/>
      <c r="BE40" s="341"/>
    </row>
    <row r="41" spans="1:64" ht="15" customHeight="1" x14ac:dyDescent="0.3">
      <c r="A41" s="241" t="str">
        <f t="shared" si="0"/>
        <v/>
      </c>
      <c r="B41" s="375"/>
      <c r="C41" s="362"/>
      <c r="D41" s="363"/>
      <c r="E41" s="365"/>
      <c r="F41" s="327"/>
      <c r="G41" s="329"/>
      <c r="H41" s="329"/>
      <c r="I41" s="329"/>
      <c r="J41" s="329"/>
      <c r="K41" s="329"/>
      <c r="L41" s="329"/>
      <c r="M41" s="329"/>
      <c r="N41" s="329"/>
      <c r="O41" s="330"/>
      <c r="P41" s="330"/>
      <c r="Q41" s="331"/>
      <c r="R41" s="331"/>
      <c r="S41" s="331"/>
      <c r="T41" s="331"/>
      <c r="U41" s="331"/>
      <c r="V41" s="331"/>
      <c r="W41" s="331"/>
      <c r="X41" s="332"/>
      <c r="Y41" s="331"/>
      <c r="Z41" s="329"/>
      <c r="AA41" s="333"/>
      <c r="AB41" s="334"/>
      <c r="AC41" s="335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  <c r="AP41" s="337"/>
      <c r="AQ41" s="337"/>
      <c r="AR41" s="337"/>
      <c r="AS41" s="337"/>
      <c r="AT41" s="337"/>
      <c r="AU41" s="337"/>
      <c r="AV41" s="337"/>
      <c r="AW41" s="337"/>
      <c r="AX41" s="337"/>
      <c r="AY41" s="337"/>
      <c r="AZ41" s="337"/>
      <c r="BA41" s="337"/>
      <c r="BB41" s="338"/>
      <c r="BC41" s="339"/>
      <c r="BD41" s="340"/>
      <c r="BE41" s="341"/>
    </row>
    <row r="42" spans="1:64" ht="15" customHeight="1" x14ac:dyDescent="0.3">
      <c r="A42" s="241" t="str">
        <f t="shared" si="0"/>
        <v/>
      </c>
      <c r="B42" s="375"/>
      <c r="C42" s="362"/>
      <c r="D42" s="363"/>
      <c r="E42" s="365"/>
      <c r="F42" s="327"/>
      <c r="G42" s="329"/>
      <c r="H42" s="329"/>
      <c r="I42" s="329"/>
      <c r="J42" s="329"/>
      <c r="K42" s="329"/>
      <c r="L42" s="329"/>
      <c r="M42" s="329"/>
      <c r="N42" s="329"/>
      <c r="O42" s="330"/>
      <c r="P42" s="330"/>
      <c r="Q42" s="331"/>
      <c r="R42" s="331"/>
      <c r="S42" s="331"/>
      <c r="T42" s="331"/>
      <c r="U42" s="331"/>
      <c r="V42" s="331"/>
      <c r="W42" s="331"/>
      <c r="X42" s="332"/>
      <c r="Y42" s="331"/>
      <c r="Z42" s="329"/>
      <c r="AA42" s="333"/>
      <c r="AB42" s="334"/>
      <c r="AC42" s="335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7"/>
      <c r="AQ42" s="337"/>
      <c r="AR42" s="337"/>
      <c r="AS42" s="337"/>
      <c r="AT42" s="337"/>
      <c r="AU42" s="337"/>
      <c r="AV42" s="337"/>
      <c r="AW42" s="337"/>
      <c r="AX42" s="337"/>
      <c r="AY42" s="337"/>
      <c r="AZ42" s="337"/>
      <c r="BA42" s="337"/>
      <c r="BB42" s="338"/>
      <c r="BC42" s="339"/>
      <c r="BD42" s="340"/>
      <c r="BE42" s="341"/>
    </row>
    <row r="43" spans="1:64" ht="15" customHeight="1" x14ac:dyDescent="0.3">
      <c r="A43" s="241" t="str">
        <f t="shared" si="0"/>
        <v/>
      </c>
      <c r="B43" s="371"/>
      <c r="C43" s="362"/>
      <c r="D43" s="363"/>
      <c r="E43" s="366"/>
      <c r="F43" s="327"/>
      <c r="G43" s="329"/>
      <c r="H43" s="329"/>
      <c r="I43" s="329"/>
      <c r="J43" s="329"/>
      <c r="K43" s="329"/>
      <c r="L43" s="329"/>
      <c r="M43" s="329"/>
      <c r="N43" s="329"/>
      <c r="O43" s="330"/>
      <c r="P43" s="330"/>
      <c r="Q43" s="331"/>
      <c r="R43" s="331"/>
      <c r="S43" s="331"/>
      <c r="T43" s="331"/>
      <c r="U43" s="331"/>
      <c r="V43" s="331"/>
      <c r="W43" s="331"/>
      <c r="X43" s="332"/>
      <c r="Y43" s="331"/>
      <c r="Z43" s="329"/>
      <c r="AA43" s="333"/>
      <c r="AB43" s="334"/>
      <c r="AC43" s="335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7"/>
      <c r="AQ43" s="337"/>
      <c r="AR43" s="337"/>
      <c r="AS43" s="337"/>
      <c r="AT43" s="337"/>
      <c r="AU43" s="337"/>
      <c r="AV43" s="337"/>
      <c r="AW43" s="337"/>
      <c r="AX43" s="337"/>
      <c r="AY43" s="337"/>
      <c r="AZ43" s="337"/>
      <c r="BA43" s="337"/>
      <c r="BB43" s="338"/>
      <c r="BC43" s="339"/>
      <c r="BD43" s="340"/>
      <c r="BE43" s="341"/>
    </row>
    <row r="44" spans="1:64" ht="15" customHeight="1" x14ac:dyDescent="0.3">
      <c r="A44" s="241" t="str">
        <f t="shared" si="0"/>
        <v/>
      </c>
      <c r="B44" s="371"/>
      <c r="C44" s="362"/>
      <c r="D44" s="363"/>
      <c r="E44" s="366"/>
      <c r="F44" s="327"/>
      <c r="G44" s="329"/>
      <c r="H44" s="329"/>
      <c r="I44" s="329"/>
      <c r="J44" s="329"/>
      <c r="K44" s="329"/>
      <c r="L44" s="329"/>
      <c r="M44" s="329"/>
      <c r="N44" s="329"/>
      <c r="O44" s="330"/>
      <c r="P44" s="330"/>
      <c r="Q44" s="331"/>
      <c r="R44" s="331"/>
      <c r="S44" s="331"/>
      <c r="T44" s="331"/>
      <c r="U44" s="331"/>
      <c r="V44" s="331"/>
      <c r="W44" s="331"/>
      <c r="X44" s="332"/>
      <c r="Y44" s="331"/>
      <c r="Z44" s="329"/>
      <c r="AA44" s="333"/>
      <c r="AB44" s="334"/>
      <c r="AC44" s="335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7"/>
      <c r="AQ44" s="337"/>
      <c r="AR44" s="337"/>
      <c r="AS44" s="337"/>
      <c r="AT44" s="337"/>
      <c r="AU44" s="337"/>
      <c r="AV44" s="337"/>
      <c r="AW44" s="337"/>
      <c r="AX44" s="337"/>
      <c r="AY44" s="337"/>
      <c r="AZ44" s="337"/>
      <c r="BA44" s="337"/>
      <c r="BB44" s="338"/>
      <c r="BC44" s="339"/>
      <c r="BD44" s="340"/>
      <c r="BE44" s="341"/>
    </row>
    <row r="45" spans="1:64" ht="15" customHeight="1" x14ac:dyDescent="0.3">
      <c r="A45" s="241" t="str">
        <f t="shared" si="0"/>
        <v/>
      </c>
      <c r="B45" s="371"/>
      <c r="C45" s="362"/>
      <c r="D45" s="363"/>
      <c r="E45" s="366"/>
      <c r="F45" s="347"/>
      <c r="G45" s="329"/>
      <c r="H45" s="329"/>
      <c r="I45" s="329"/>
      <c r="J45" s="329"/>
      <c r="K45" s="329"/>
      <c r="L45" s="329"/>
      <c r="M45" s="329"/>
      <c r="N45" s="329"/>
      <c r="O45" s="330"/>
      <c r="P45" s="330"/>
      <c r="Q45" s="331"/>
      <c r="R45" s="331"/>
      <c r="S45" s="331"/>
      <c r="T45" s="331"/>
      <c r="U45" s="331"/>
      <c r="V45" s="331"/>
      <c r="W45" s="331"/>
      <c r="X45" s="332"/>
      <c r="Y45" s="331"/>
      <c r="Z45" s="329"/>
      <c r="AA45" s="333"/>
      <c r="AB45" s="334"/>
      <c r="AC45" s="335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8"/>
      <c r="BC45" s="339"/>
      <c r="BD45" s="340"/>
      <c r="BE45" s="341"/>
    </row>
    <row r="46" spans="1:64" ht="15" customHeight="1" x14ac:dyDescent="0.3">
      <c r="A46" s="241" t="str">
        <f t="shared" si="0"/>
        <v/>
      </c>
      <c r="B46" s="371"/>
      <c r="C46" s="362"/>
      <c r="D46" s="363"/>
      <c r="E46" s="366"/>
      <c r="F46" s="347"/>
      <c r="G46" s="329"/>
      <c r="H46" s="329"/>
      <c r="I46" s="329"/>
      <c r="J46" s="329"/>
      <c r="K46" s="329"/>
      <c r="L46" s="329"/>
      <c r="M46" s="329"/>
      <c r="N46" s="329"/>
      <c r="O46" s="330"/>
      <c r="P46" s="330"/>
      <c r="Q46" s="331"/>
      <c r="R46" s="331"/>
      <c r="S46" s="331"/>
      <c r="T46" s="331"/>
      <c r="U46" s="331"/>
      <c r="V46" s="331"/>
      <c r="W46" s="331"/>
      <c r="X46" s="332"/>
      <c r="Y46" s="331"/>
      <c r="Z46" s="329"/>
      <c r="AA46" s="333"/>
      <c r="AB46" s="334"/>
      <c r="AC46" s="335"/>
      <c r="AD46" s="336"/>
      <c r="AE46" s="336"/>
      <c r="AF46" s="336"/>
      <c r="AG46" s="336"/>
      <c r="AH46" s="336"/>
      <c r="AI46" s="336"/>
      <c r="AJ46" s="336"/>
      <c r="AK46" s="336"/>
      <c r="AL46" s="336"/>
      <c r="AM46" s="336"/>
      <c r="AN46" s="336"/>
      <c r="AO46" s="336"/>
      <c r="AP46" s="337"/>
      <c r="AQ46" s="337"/>
      <c r="AR46" s="337"/>
      <c r="AS46" s="337"/>
      <c r="AT46" s="337"/>
      <c r="AU46" s="337"/>
      <c r="AV46" s="337"/>
      <c r="AW46" s="337"/>
      <c r="AX46" s="337"/>
      <c r="AY46" s="337"/>
      <c r="AZ46" s="337"/>
      <c r="BA46" s="337"/>
      <c r="BB46" s="338"/>
      <c r="BC46" s="339"/>
      <c r="BD46" s="340"/>
      <c r="BE46" s="341"/>
    </row>
    <row r="47" spans="1:64" ht="15" customHeight="1" x14ac:dyDescent="0.3">
      <c r="A47" s="241" t="str">
        <f t="shared" si="0"/>
        <v/>
      </c>
      <c r="B47" s="371"/>
      <c r="C47" s="362"/>
      <c r="D47" s="363"/>
      <c r="E47" s="366"/>
      <c r="F47" s="347"/>
      <c r="G47" s="329"/>
      <c r="H47" s="329"/>
      <c r="I47" s="329"/>
      <c r="J47" s="329"/>
      <c r="K47" s="329"/>
      <c r="L47" s="329"/>
      <c r="M47" s="329"/>
      <c r="N47" s="329"/>
      <c r="O47" s="330"/>
      <c r="P47" s="330"/>
      <c r="Q47" s="331"/>
      <c r="R47" s="331"/>
      <c r="S47" s="331"/>
      <c r="T47" s="331"/>
      <c r="U47" s="331"/>
      <c r="V47" s="331"/>
      <c r="W47" s="331"/>
      <c r="X47" s="332"/>
      <c r="Y47" s="331"/>
      <c r="Z47" s="329"/>
      <c r="AA47" s="333"/>
      <c r="AB47" s="334"/>
      <c r="AC47" s="335"/>
      <c r="AD47" s="336"/>
      <c r="AE47" s="336"/>
      <c r="AF47" s="336"/>
      <c r="AG47" s="336"/>
      <c r="AH47" s="336"/>
      <c r="AI47" s="336"/>
      <c r="AJ47" s="336"/>
      <c r="AK47" s="336"/>
      <c r="AL47" s="336"/>
      <c r="AM47" s="336"/>
      <c r="AN47" s="336"/>
      <c r="AO47" s="336"/>
      <c r="AP47" s="337"/>
      <c r="AQ47" s="337"/>
      <c r="AR47" s="337"/>
      <c r="AS47" s="337"/>
      <c r="AT47" s="337"/>
      <c r="AU47" s="337"/>
      <c r="AV47" s="337"/>
      <c r="AW47" s="337"/>
      <c r="AX47" s="337"/>
      <c r="AY47" s="337"/>
      <c r="AZ47" s="337"/>
      <c r="BA47" s="337"/>
      <c r="BB47" s="338"/>
      <c r="BC47" s="339"/>
      <c r="BD47" s="340"/>
      <c r="BE47" s="341"/>
    </row>
    <row r="48" spans="1:64" ht="14.25" customHeight="1" x14ac:dyDescent="0.3">
      <c r="A48" s="241" t="str">
        <f t="shared" si="0"/>
        <v/>
      </c>
      <c r="B48" s="364"/>
      <c r="C48" s="362"/>
      <c r="D48" s="363"/>
      <c r="E48" s="366"/>
      <c r="F48" s="327"/>
      <c r="G48" s="329"/>
      <c r="H48" s="329"/>
      <c r="I48" s="329"/>
      <c r="J48" s="329"/>
      <c r="K48" s="329"/>
      <c r="L48" s="329"/>
      <c r="M48" s="329"/>
      <c r="N48" s="329"/>
      <c r="O48" s="330"/>
      <c r="P48" s="330"/>
      <c r="Q48" s="331"/>
      <c r="R48" s="331"/>
      <c r="S48" s="331"/>
      <c r="T48" s="331"/>
      <c r="U48" s="331"/>
      <c r="V48" s="331"/>
      <c r="W48" s="331"/>
      <c r="X48" s="332"/>
      <c r="Y48" s="331"/>
      <c r="Z48" s="329"/>
      <c r="AA48" s="333"/>
      <c r="AB48" s="334"/>
      <c r="AC48" s="335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  <c r="AP48" s="337"/>
      <c r="AQ48" s="337"/>
      <c r="AR48" s="337"/>
      <c r="AS48" s="337"/>
      <c r="AT48" s="337"/>
      <c r="AU48" s="337"/>
      <c r="AV48" s="337"/>
      <c r="AW48" s="337"/>
      <c r="AX48" s="337"/>
      <c r="AY48" s="337"/>
      <c r="AZ48" s="337"/>
      <c r="BA48" s="337"/>
      <c r="BB48" s="338"/>
      <c r="BC48" s="339"/>
      <c r="BD48" s="340"/>
      <c r="BE48" s="341"/>
    </row>
    <row r="49" spans="1:57" ht="15" customHeight="1" x14ac:dyDescent="0.3">
      <c r="A49" s="241" t="str">
        <f t="shared" si="0"/>
        <v/>
      </c>
      <c r="B49" s="364"/>
      <c r="C49" s="362"/>
      <c r="D49" s="363"/>
      <c r="E49" s="366"/>
      <c r="F49" s="329"/>
      <c r="G49" s="329"/>
      <c r="H49" s="329"/>
      <c r="I49" s="329"/>
      <c r="J49" s="329"/>
      <c r="K49" s="329"/>
      <c r="L49" s="329"/>
      <c r="M49" s="329"/>
      <c r="N49" s="329"/>
      <c r="O49" s="330"/>
      <c r="P49" s="330"/>
      <c r="Q49" s="331"/>
      <c r="R49" s="331"/>
      <c r="S49" s="331"/>
      <c r="T49" s="331"/>
      <c r="U49" s="331"/>
      <c r="V49" s="331"/>
      <c r="W49" s="331"/>
      <c r="X49" s="332"/>
      <c r="Y49" s="331"/>
      <c r="Z49" s="329"/>
      <c r="AA49" s="333"/>
      <c r="AB49" s="334"/>
      <c r="AC49" s="335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7"/>
      <c r="AQ49" s="337"/>
      <c r="AR49" s="337"/>
      <c r="AS49" s="337"/>
      <c r="AT49" s="337"/>
      <c r="AU49" s="337"/>
      <c r="AV49" s="337"/>
      <c r="AW49" s="337"/>
      <c r="AX49" s="337"/>
      <c r="AY49" s="337"/>
      <c r="AZ49" s="337"/>
      <c r="BA49" s="337"/>
      <c r="BB49" s="338"/>
      <c r="BC49" s="339"/>
      <c r="BD49" s="340"/>
      <c r="BE49" s="341"/>
    </row>
    <row r="50" spans="1:57" ht="15" customHeight="1" x14ac:dyDescent="0.3">
      <c r="A50" s="241" t="str">
        <f t="shared" si="0"/>
        <v/>
      </c>
      <c r="B50" s="371"/>
      <c r="C50" s="362"/>
      <c r="D50" s="363"/>
      <c r="E50" s="370"/>
      <c r="F50" s="327"/>
      <c r="G50" s="329"/>
      <c r="H50" s="329"/>
      <c r="I50" s="329"/>
      <c r="J50" s="329"/>
      <c r="K50" s="329"/>
      <c r="L50" s="329"/>
      <c r="M50" s="329"/>
      <c r="N50" s="329"/>
      <c r="O50" s="330"/>
      <c r="P50" s="330"/>
      <c r="Q50" s="331"/>
      <c r="R50" s="331"/>
      <c r="S50" s="331"/>
      <c r="T50" s="331"/>
      <c r="U50" s="331"/>
      <c r="V50" s="331"/>
      <c r="W50" s="331"/>
      <c r="X50" s="332"/>
      <c r="Y50" s="331"/>
      <c r="Z50" s="329"/>
      <c r="AA50" s="333"/>
      <c r="AB50" s="334"/>
      <c r="AC50" s="335"/>
      <c r="AD50" s="336"/>
      <c r="AE50" s="336"/>
      <c r="AF50" s="336"/>
      <c r="AG50" s="336"/>
      <c r="AH50" s="336"/>
      <c r="AI50" s="336"/>
      <c r="AJ50" s="336"/>
      <c r="AK50" s="336"/>
      <c r="AL50" s="336"/>
      <c r="AM50" s="336"/>
      <c r="AN50" s="336"/>
      <c r="AO50" s="336"/>
      <c r="AP50" s="337"/>
      <c r="AQ50" s="337"/>
      <c r="AR50" s="337"/>
      <c r="AS50" s="337"/>
      <c r="AT50" s="337"/>
      <c r="AU50" s="337"/>
      <c r="AV50" s="337"/>
      <c r="AW50" s="337"/>
      <c r="AX50" s="337"/>
      <c r="AY50" s="337"/>
      <c r="AZ50" s="337"/>
      <c r="BA50" s="337"/>
      <c r="BB50" s="338"/>
      <c r="BC50" s="339"/>
      <c r="BD50" s="340"/>
      <c r="BE50" s="341"/>
    </row>
    <row r="51" spans="1:57" ht="15" customHeight="1" x14ac:dyDescent="0.3">
      <c r="A51" s="241" t="str">
        <f t="shared" si="0"/>
        <v/>
      </c>
      <c r="B51" s="371"/>
      <c r="C51" s="362"/>
      <c r="D51" s="363"/>
      <c r="E51" s="366"/>
      <c r="F51" s="347"/>
      <c r="G51" s="329"/>
      <c r="H51" s="329"/>
      <c r="I51" s="329"/>
      <c r="J51" s="329"/>
      <c r="K51" s="329"/>
      <c r="L51" s="329"/>
      <c r="M51" s="329"/>
      <c r="N51" s="329"/>
      <c r="O51" s="330"/>
      <c r="P51" s="330"/>
      <c r="Q51" s="331"/>
      <c r="R51" s="331"/>
      <c r="S51" s="331"/>
      <c r="T51" s="331"/>
      <c r="U51" s="331"/>
      <c r="V51" s="331"/>
      <c r="W51" s="331"/>
      <c r="X51" s="332"/>
      <c r="Y51" s="331"/>
      <c r="Z51" s="329"/>
      <c r="AA51" s="333"/>
      <c r="AB51" s="334"/>
      <c r="AC51" s="335"/>
      <c r="AD51" s="336"/>
      <c r="AE51" s="336"/>
      <c r="AF51" s="336"/>
      <c r="AG51" s="336"/>
      <c r="AH51" s="336"/>
      <c r="AI51" s="336"/>
      <c r="AJ51" s="336"/>
      <c r="AK51" s="336"/>
      <c r="AL51" s="336"/>
      <c r="AM51" s="336"/>
      <c r="AN51" s="336"/>
      <c r="AO51" s="336"/>
      <c r="AP51" s="337"/>
      <c r="AQ51" s="337"/>
      <c r="AR51" s="337"/>
      <c r="AS51" s="337"/>
      <c r="AT51" s="337"/>
      <c r="AU51" s="337"/>
      <c r="AV51" s="337"/>
      <c r="AW51" s="337"/>
      <c r="AX51" s="337"/>
      <c r="AY51" s="337"/>
      <c r="AZ51" s="337"/>
      <c r="BA51" s="337"/>
      <c r="BB51" s="338"/>
      <c r="BC51" s="339"/>
      <c r="BD51" s="340"/>
      <c r="BE51" s="341"/>
    </row>
    <row r="52" spans="1:57" ht="15" customHeight="1" x14ac:dyDescent="0.3">
      <c r="A52" s="241" t="str">
        <f t="shared" si="0"/>
        <v/>
      </c>
      <c r="B52" s="371"/>
      <c r="C52" s="362"/>
      <c r="D52" s="363"/>
      <c r="E52" s="366"/>
      <c r="F52" s="347"/>
      <c r="G52" s="329"/>
      <c r="H52" s="329"/>
      <c r="I52" s="329"/>
      <c r="J52" s="329"/>
      <c r="K52" s="329"/>
      <c r="L52" s="329"/>
      <c r="M52" s="329"/>
      <c r="N52" s="329"/>
      <c r="O52" s="330"/>
      <c r="P52" s="330"/>
      <c r="Q52" s="331"/>
      <c r="R52" s="331"/>
      <c r="S52" s="331"/>
      <c r="T52" s="331"/>
      <c r="U52" s="331"/>
      <c r="V52" s="331"/>
      <c r="W52" s="331"/>
      <c r="X52" s="332"/>
      <c r="Y52" s="331"/>
      <c r="Z52" s="329"/>
      <c r="AA52" s="333"/>
      <c r="AB52" s="334"/>
      <c r="AC52" s="335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6"/>
      <c r="AP52" s="337"/>
      <c r="AQ52" s="337"/>
      <c r="AR52" s="337"/>
      <c r="AS52" s="337"/>
      <c r="AT52" s="337"/>
      <c r="AU52" s="337"/>
      <c r="AV52" s="337"/>
      <c r="AW52" s="337"/>
      <c r="AX52" s="337"/>
      <c r="AY52" s="337"/>
      <c r="AZ52" s="337"/>
      <c r="BA52" s="337"/>
      <c r="BB52" s="338"/>
      <c r="BC52" s="339"/>
      <c r="BD52" s="340"/>
      <c r="BE52" s="341"/>
    </row>
    <row r="53" spans="1:57" ht="15" customHeight="1" x14ac:dyDescent="0.3">
      <c r="A53" s="241" t="str">
        <f t="shared" si="0"/>
        <v/>
      </c>
      <c r="B53" s="364"/>
      <c r="C53" s="362"/>
      <c r="D53" s="363"/>
      <c r="E53" s="366"/>
      <c r="F53" s="329"/>
      <c r="G53" s="329"/>
      <c r="H53" s="329"/>
      <c r="I53" s="329"/>
      <c r="J53" s="329"/>
      <c r="K53" s="329"/>
      <c r="L53" s="329"/>
      <c r="M53" s="329"/>
      <c r="N53" s="329"/>
      <c r="O53" s="330"/>
      <c r="P53" s="330"/>
      <c r="Q53" s="331"/>
      <c r="R53" s="331"/>
      <c r="S53" s="331"/>
      <c r="T53" s="331"/>
      <c r="U53" s="331"/>
      <c r="V53" s="331"/>
      <c r="W53" s="331"/>
      <c r="X53" s="332"/>
      <c r="Y53" s="331"/>
      <c r="Z53" s="329"/>
      <c r="AA53" s="333"/>
      <c r="AB53" s="334"/>
      <c r="AC53" s="335"/>
      <c r="AD53" s="336"/>
      <c r="AE53" s="336"/>
      <c r="AF53" s="336"/>
      <c r="AG53" s="336"/>
      <c r="AH53" s="336"/>
      <c r="AI53" s="336"/>
      <c r="AJ53" s="336"/>
      <c r="AK53" s="336"/>
      <c r="AL53" s="336"/>
      <c r="AM53" s="336"/>
      <c r="AN53" s="336"/>
      <c r="AO53" s="336"/>
      <c r="AP53" s="337"/>
      <c r="AQ53" s="337"/>
      <c r="AR53" s="337"/>
      <c r="AS53" s="337"/>
      <c r="AT53" s="337"/>
      <c r="AU53" s="337"/>
      <c r="AV53" s="337"/>
      <c r="AW53" s="337"/>
      <c r="AX53" s="337"/>
      <c r="AY53" s="337"/>
      <c r="AZ53" s="337"/>
      <c r="BA53" s="337"/>
      <c r="BB53" s="338"/>
      <c r="BC53" s="339"/>
      <c r="BD53" s="340"/>
      <c r="BE53" s="341"/>
    </row>
    <row r="54" spans="1:57" ht="15" customHeight="1" x14ac:dyDescent="0.3">
      <c r="A54" s="241" t="str">
        <f t="shared" si="0"/>
        <v/>
      </c>
      <c r="B54" s="364"/>
      <c r="C54" s="362"/>
      <c r="D54" s="363"/>
      <c r="E54" s="366"/>
      <c r="F54" s="329"/>
      <c r="G54" s="329"/>
      <c r="H54" s="329"/>
      <c r="I54" s="329"/>
      <c r="J54" s="329"/>
      <c r="K54" s="329"/>
      <c r="L54" s="329"/>
      <c r="M54" s="329"/>
      <c r="N54" s="329"/>
      <c r="O54" s="330"/>
      <c r="P54" s="330"/>
      <c r="Q54" s="331"/>
      <c r="R54" s="331"/>
      <c r="S54" s="331"/>
      <c r="T54" s="331"/>
      <c r="U54" s="331"/>
      <c r="V54" s="331"/>
      <c r="W54" s="331"/>
      <c r="X54" s="332"/>
      <c r="Y54" s="331"/>
      <c r="Z54" s="329"/>
      <c r="AA54" s="333"/>
      <c r="AB54" s="334"/>
      <c r="AC54" s="335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7"/>
      <c r="AQ54" s="337"/>
      <c r="AR54" s="337"/>
      <c r="AS54" s="337"/>
      <c r="AT54" s="337"/>
      <c r="AU54" s="337"/>
      <c r="AV54" s="337"/>
      <c r="AW54" s="337"/>
      <c r="AX54" s="337"/>
      <c r="AY54" s="337"/>
      <c r="AZ54" s="337"/>
      <c r="BA54" s="337"/>
      <c r="BB54" s="338"/>
      <c r="BC54" s="339"/>
      <c r="BD54" s="340"/>
      <c r="BE54" s="341"/>
    </row>
    <row r="55" spans="1:57" ht="15" customHeight="1" x14ac:dyDescent="0.3">
      <c r="A55" s="241" t="str">
        <f t="shared" si="0"/>
        <v/>
      </c>
      <c r="B55" s="364"/>
      <c r="C55" s="362"/>
      <c r="D55" s="363"/>
      <c r="E55" s="366"/>
      <c r="F55" s="329"/>
      <c r="G55" s="329"/>
      <c r="H55" s="329"/>
      <c r="I55" s="329"/>
      <c r="J55" s="329"/>
      <c r="K55" s="329"/>
      <c r="L55" s="329"/>
      <c r="M55" s="329"/>
      <c r="N55" s="329"/>
      <c r="O55" s="330"/>
      <c r="P55" s="330"/>
      <c r="Q55" s="331"/>
      <c r="R55" s="331"/>
      <c r="S55" s="331"/>
      <c r="T55" s="331"/>
      <c r="U55" s="331"/>
      <c r="V55" s="331"/>
      <c r="W55" s="331"/>
      <c r="X55" s="332"/>
      <c r="Y55" s="331"/>
      <c r="Z55" s="329"/>
      <c r="AA55" s="333"/>
      <c r="AB55" s="334"/>
      <c r="AC55" s="335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  <c r="AP55" s="337"/>
      <c r="AQ55" s="337"/>
      <c r="AR55" s="337"/>
      <c r="AS55" s="337"/>
      <c r="AT55" s="337"/>
      <c r="AU55" s="337"/>
      <c r="AV55" s="337"/>
      <c r="AW55" s="337"/>
      <c r="AX55" s="337"/>
      <c r="AY55" s="337"/>
      <c r="AZ55" s="337"/>
      <c r="BA55" s="337"/>
      <c r="BB55" s="338"/>
      <c r="BC55" s="339"/>
      <c r="BD55" s="340"/>
      <c r="BE55" s="341"/>
    </row>
    <row r="56" spans="1:57" ht="15" customHeight="1" x14ac:dyDescent="0.3">
      <c r="A56" s="241" t="str">
        <f t="shared" si="0"/>
        <v/>
      </c>
      <c r="B56" s="371"/>
      <c r="C56" s="362"/>
      <c r="D56" s="363"/>
      <c r="E56" s="370"/>
      <c r="F56" s="327"/>
      <c r="G56" s="329"/>
      <c r="H56" s="329"/>
      <c r="I56" s="329"/>
      <c r="J56" s="329"/>
      <c r="K56" s="329"/>
      <c r="L56" s="329"/>
      <c r="M56" s="329"/>
      <c r="N56" s="329"/>
      <c r="O56" s="330"/>
      <c r="P56" s="330"/>
      <c r="Q56" s="331"/>
      <c r="R56" s="331"/>
      <c r="S56" s="331"/>
      <c r="T56" s="331"/>
      <c r="U56" s="331"/>
      <c r="V56" s="331"/>
      <c r="W56" s="331"/>
      <c r="X56" s="332"/>
      <c r="Y56" s="331"/>
      <c r="Z56" s="329"/>
      <c r="AA56" s="333"/>
      <c r="AB56" s="334"/>
      <c r="AC56" s="335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7"/>
      <c r="AQ56" s="337"/>
      <c r="AR56" s="337"/>
      <c r="AS56" s="337"/>
      <c r="AT56" s="337"/>
      <c r="AU56" s="337"/>
      <c r="AV56" s="337"/>
      <c r="AW56" s="337"/>
      <c r="AX56" s="337"/>
      <c r="AY56" s="337"/>
      <c r="AZ56" s="337"/>
      <c r="BA56" s="337"/>
      <c r="BB56" s="338"/>
      <c r="BC56" s="339"/>
      <c r="BD56" s="340"/>
      <c r="BE56" s="341"/>
    </row>
    <row r="57" spans="1:57" ht="15" customHeight="1" x14ac:dyDescent="0.3">
      <c r="A57" s="241" t="str">
        <f t="shared" si="0"/>
        <v/>
      </c>
      <c r="B57" s="371"/>
      <c r="C57" s="362"/>
      <c r="D57" s="363"/>
      <c r="E57" s="366"/>
      <c r="F57" s="347"/>
      <c r="G57" s="329"/>
      <c r="H57" s="329"/>
      <c r="I57" s="329"/>
      <c r="J57" s="329"/>
      <c r="K57" s="329"/>
      <c r="L57" s="329"/>
      <c r="M57" s="329"/>
      <c r="N57" s="329"/>
      <c r="O57" s="330"/>
      <c r="P57" s="330"/>
      <c r="Q57" s="331"/>
      <c r="R57" s="331"/>
      <c r="S57" s="331"/>
      <c r="T57" s="331"/>
      <c r="U57" s="331"/>
      <c r="V57" s="331"/>
      <c r="W57" s="331"/>
      <c r="X57" s="332"/>
      <c r="Y57" s="331"/>
      <c r="Z57" s="329"/>
      <c r="AA57" s="333"/>
      <c r="AB57" s="334"/>
      <c r="AC57" s="335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7"/>
      <c r="AQ57" s="337"/>
      <c r="AR57" s="337"/>
      <c r="AS57" s="337"/>
      <c r="AT57" s="337"/>
      <c r="AU57" s="337"/>
      <c r="AV57" s="337"/>
      <c r="AW57" s="337"/>
      <c r="AX57" s="337"/>
      <c r="AY57" s="337"/>
      <c r="AZ57" s="337"/>
      <c r="BA57" s="337"/>
      <c r="BB57" s="338"/>
      <c r="BC57" s="339"/>
      <c r="BD57" s="340"/>
      <c r="BE57" s="341"/>
    </row>
    <row r="58" spans="1:57" ht="15" customHeight="1" x14ac:dyDescent="0.3">
      <c r="A58" s="241" t="str">
        <f t="shared" si="0"/>
        <v/>
      </c>
      <c r="B58" s="371"/>
      <c r="C58" s="362"/>
      <c r="D58" s="363"/>
      <c r="E58" s="366"/>
      <c r="F58" s="347"/>
      <c r="G58" s="329"/>
      <c r="H58" s="329"/>
      <c r="I58" s="329"/>
      <c r="J58" s="329"/>
      <c r="K58" s="329"/>
      <c r="L58" s="329"/>
      <c r="M58" s="329"/>
      <c r="N58" s="329"/>
      <c r="O58" s="330"/>
      <c r="P58" s="330"/>
      <c r="Q58" s="331"/>
      <c r="R58" s="331"/>
      <c r="S58" s="331"/>
      <c r="T58" s="331"/>
      <c r="U58" s="331"/>
      <c r="V58" s="331"/>
      <c r="W58" s="331"/>
      <c r="X58" s="332"/>
      <c r="Y58" s="331"/>
      <c r="Z58" s="329"/>
      <c r="AA58" s="333"/>
      <c r="AB58" s="334"/>
      <c r="AC58" s="335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7"/>
      <c r="AQ58" s="337"/>
      <c r="AR58" s="337"/>
      <c r="AS58" s="337"/>
      <c r="AT58" s="337"/>
      <c r="AU58" s="337"/>
      <c r="AV58" s="337"/>
      <c r="AW58" s="337"/>
      <c r="AX58" s="337"/>
      <c r="AY58" s="337"/>
      <c r="AZ58" s="337"/>
      <c r="BA58" s="337"/>
      <c r="BB58" s="338"/>
      <c r="BC58" s="339"/>
      <c r="BD58" s="340"/>
      <c r="BE58" s="341"/>
    </row>
    <row r="59" spans="1:57" ht="15" customHeight="1" x14ac:dyDescent="0.3">
      <c r="A59" s="241" t="str">
        <f t="shared" si="0"/>
        <v/>
      </c>
      <c r="B59" s="364"/>
      <c r="C59" s="362"/>
      <c r="D59" s="363"/>
      <c r="E59" s="366"/>
      <c r="F59" s="329"/>
      <c r="G59" s="329"/>
      <c r="H59" s="329"/>
      <c r="I59" s="329"/>
      <c r="J59" s="329"/>
      <c r="K59" s="329"/>
      <c r="L59" s="329"/>
      <c r="M59" s="329"/>
      <c r="N59" s="329"/>
      <c r="O59" s="330"/>
      <c r="P59" s="330"/>
      <c r="Q59" s="331"/>
      <c r="R59" s="331"/>
      <c r="S59" s="331"/>
      <c r="T59" s="331"/>
      <c r="U59" s="331"/>
      <c r="V59" s="331"/>
      <c r="W59" s="331"/>
      <c r="X59" s="332"/>
      <c r="Y59" s="331"/>
      <c r="Z59" s="329"/>
      <c r="AA59" s="333"/>
      <c r="AB59" s="334"/>
      <c r="AC59" s="335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  <c r="AP59" s="337"/>
      <c r="AQ59" s="337"/>
      <c r="AR59" s="337"/>
      <c r="AS59" s="337"/>
      <c r="AT59" s="337"/>
      <c r="AU59" s="337"/>
      <c r="AV59" s="337"/>
      <c r="AW59" s="337"/>
      <c r="AX59" s="337"/>
      <c r="AY59" s="337"/>
      <c r="AZ59" s="337"/>
      <c r="BA59" s="337"/>
      <c r="BB59" s="338"/>
      <c r="BC59" s="339"/>
      <c r="BD59" s="340"/>
      <c r="BE59" s="341"/>
    </row>
    <row r="60" spans="1:57" ht="15" customHeight="1" x14ac:dyDescent="0.3">
      <c r="A60" s="241" t="str">
        <f t="shared" si="0"/>
        <v/>
      </c>
      <c r="B60" s="364"/>
      <c r="C60" s="362"/>
      <c r="D60" s="363"/>
      <c r="E60" s="366"/>
      <c r="F60" s="327"/>
      <c r="G60" s="329"/>
      <c r="H60" s="329"/>
      <c r="I60" s="329"/>
      <c r="J60" s="329"/>
      <c r="K60" s="329"/>
      <c r="L60" s="329"/>
      <c r="M60" s="329"/>
      <c r="N60" s="329"/>
      <c r="O60" s="330"/>
      <c r="P60" s="330"/>
      <c r="Q60" s="331"/>
      <c r="R60" s="331"/>
      <c r="S60" s="331"/>
      <c r="T60" s="331"/>
      <c r="U60" s="331"/>
      <c r="V60" s="331"/>
      <c r="W60" s="331"/>
      <c r="X60" s="332"/>
      <c r="Y60" s="331"/>
      <c r="Z60" s="329"/>
      <c r="AA60" s="333"/>
      <c r="AB60" s="334"/>
      <c r="AC60" s="335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  <c r="AP60" s="337"/>
      <c r="AQ60" s="337"/>
      <c r="AR60" s="337"/>
      <c r="AS60" s="337"/>
      <c r="AT60" s="337"/>
      <c r="AU60" s="337"/>
      <c r="AV60" s="337"/>
      <c r="AW60" s="337"/>
      <c r="AX60" s="337"/>
      <c r="AY60" s="337"/>
      <c r="AZ60" s="337"/>
      <c r="BA60" s="337"/>
      <c r="BB60" s="338"/>
      <c r="BC60" s="339"/>
      <c r="BD60" s="340"/>
      <c r="BE60" s="341"/>
    </row>
    <row r="61" spans="1:57" ht="15" customHeight="1" x14ac:dyDescent="0.3">
      <c r="A61" s="241" t="str">
        <f t="shared" si="0"/>
        <v/>
      </c>
      <c r="B61" s="371"/>
      <c r="C61" s="362"/>
      <c r="D61" s="363"/>
      <c r="E61" s="366"/>
      <c r="F61" s="327"/>
      <c r="G61" s="329"/>
      <c r="H61" s="329"/>
      <c r="I61" s="329"/>
      <c r="J61" s="329"/>
      <c r="K61" s="329"/>
      <c r="L61" s="329"/>
      <c r="M61" s="329"/>
      <c r="N61" s="329"/>
      <c r="O61" s="330"/>
      <c r="P61" s="330"/>
      <c r="Q61" s="331"/>
      <c r="R61" s="331"/>
      <c r="S61" s="331"/>
      <c r="T61" s="331"/>
      <c r="U61" s="331"/>
      <c r="V61" s="331"/>
      <c r="W61" s="331"/>
      <c r="X61" s="332"/>
      <c r="Y61" s="331"/>
      <c r="Z61" s="329"/>
      <c r="AA61" s="333"/>
      <c r="AB61" s="334"/>
      <c r="AC61" s="335"/>
      <c r="AD61" s="336"/>
      <c r="AE61" s="336"/>
      <c r="AF61" s="336"/>
      <c r="AG61" s="336"/>
      <c r="AH61" s="336"/>
      <c r="AI61" s="336"/>
      <c r="AJ61" s="336"/>
      <c r="AK61" s="336"/>
      <c r="AL61" s="336"/>
      <c r="AM61" s="336"/>
      <c r="AN61" s="336"/>
      <c r="AO61" s="336"/>
      <c r="AP61" s="337"/>
      <c r="AQ61" s="337"/>
      <c r="AR61" s="337"/>
      <c r="AS61" s="337"/>
      <c r="AT61" s="337"/>
      <c r="AU61" s="337"/>
      <c r="AV61" s="337"/>
      <c r="AW61" s="337"/>
      <c r="AX61" s="337"/>
      <c r="AY61" s="337"/>
      <c r="AZ61" s="337"/>
      <c r="BA61" s="337"/>
      <c r="BB61" s="338"/>
      <c r="BC61" s="339"/>
      <c r="BD61" s="340"/>
      <c r="BE61" s="341"/>
    </row>
    <row r="62" spans="1:57" ht="15" customHeight="1" x14ac:dyDescent="0.3">
      <c r="A62" s="241" t="str">
        <f t="shared" si="0"/>
        <v/>
      </c>
      <c r="B62" s="371"/>
      <c r="C62" s="362"/>
      <c r="D62" s="363"/>
      <c r="E62" s="366"/>
      <c r="F62" s="347"/>
      <c r="G62" s="329"/>
      <c r="H62" s="329"/>
      <c r="I62" s="329"/>
      <c r="J62" s="329"/>
      <c r="K62" s="329"/>
      <c r="L62" s="329"/>
      <c r="M62" s="329"/>
      <c r="N62" s="329"/>
      <c r="O62" s="330"/>
      <c r="P62" s="330"/>
      <c r="Q62" s="331"/>
      <c r="R62" s="331"/>
      <c r="S62" s="331"/>
      <c r="T62" s="331"/>
      <c r="U62" s="331"/>
      <c r="V62" s="331"/>
      <c r="W62" s="331"/>
      <c r="X62" s="332"/>
      <c r="Y62" s="331"/>
      <c r="Z62" s="329"/>
      <c r="AA62" s="333"/>
      <c r="AB62" s="334"/>
      <c r="AC62" s="335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  <c r="AP62" s="337"/>
      <c r="AQ62" s="337"/>
      <c r="AR62" s="337"/>
      <c r="AS62" s="337"/>
      <c r="AT62" s="337"/>
      <c r="AU62" s="337"/>
      <c r="AV62" s="337"/>
      <c r="AW62" s="337"/>
      <c r="AX62" s="337"/>
      <c r="AY62" s="337"/>
      <c r="AZ62" s="337"/>
      <c r="BA62" s="337"/>
      <c r="BB62" s="338"/>
      <c r="BC62" s="339"/>
      <c r="BD62" s="340"/>
      <c r="BE62" s="341"/>
    </row>
    <row r="63" spans="1:57" ht="15" customHeight="1" x14ac:dyDescent="0.3">
      <c r="A63" s="241" t="str">
        <f t="shared" si="0"/>
        <v/>
      </c>
      <c r="B63" s="364"/>
      <c r="C63" s="362"/>
      <c r="D63" s="363"/>
      <c r="E63" s="366"/>
      <c r="F63" s="327"/>
      <c r="G63" s="329"/>
      <c r="H63" s="329"/>
      <c r="I63" s="329"/>
      <c r="J63" s="329"/>
      <c r="K63" s="329"/>
      <c r="L63" s="329"/>
      <c r="M63" s="329"/>
      <c r="N63" s="329"/>
      <c r="O63" s="330"/>
      <c r="P63" s="330"/>
      <c r="Q63" s="331"/>
      <c r="R63" s="331"/>
      <c r="S63" s="331"/>
      <c r="T63" s="331"/>
      <c r="U63" s="331"/>
      <c r="V63" s="331"/>
      <c r="W63" s="331"/>
      <c r="X63" s="332"/>
      <c r="Y63" s="331"/>
      <c r="Z63" s="329"/>
      <c r="AA63" s="333"/>
      <c r="AB63" s="334"/>
      <c r="AC63" s="335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  <c r="AP63" s="337"/>
      <c r="AQ63" s="337"/>
      <c r="AR63" s="337"/>
      <c r="AS63" s="337"/>
      <c r="AT63" s="337"/>
      <c r="AU63" s="337"/>
      <c r="AV63" s="337"/>
      <c r="AW63" s="337"/>
      <c r="AX63" s="337"/>
      <c r="AY63" s="337"/>
      <c r="AZ63" s="337"/>
      <c r="BA63" s="337"/>
      <c r="BB63" s="338"/>
      <c r="BC63" s="339"/>
      <c r="BD63" s="340"/>
      <c r="BE63" s="341"/>
    </row>
    <row r="64" spans="1:57" ht="15" customHeight="1" x14ac:dyDescent="0.3">
      <c r="A64" s="241" t="str">
        <f t="shared" si="0"/>
        <v/>
      </c>
      <c r="B64" s="364"/>
      <c r="C64" s="362"/>
      <c r="D64" s="363"/>
      <c r="E64" s="366"/>
      <c r="F64" s="329"/>
      <c r="G64" s="329"/>
      <c r="H64" s="329"/>
      <c r="I64" s="329"/>
      <c r="J64" s="329"/>
      <c r="K64" s="329"/>
      <c r="L64" s="329"/>
      <c r="M64" s="329"/>
      <c r="N64" s="329"/>
      <c r="O64" s="330"/>
      <c r="P64" s="330"/>
      <c r="Q64" s="331"/>
      <c r="R64" s="331"/>
      <c r="S64" s="331"/>
      <c r="T64" s="331"/>
      <c r="U64" s="331"/>
      <c r="V64" s="331"/>
      <c r="W64" s="331"/>
      <c r="X64" s="332"/>
      <c r="Y64" s="331"/>
      <c r="Z64" s="329"/>
      <c r="AA64" s="333"/>
      <c r="AB64" s="334"/>
      <c r="AC64" s="335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  <c r="AP64" s="337"/>
      <c r="AQ64" s="337"/>
      <c r="AR64" s="337"/>
      <c r="AS64" s="337"/>
      <c r="AT64" s="337"/>
      <c r="AU64" s="337"/>
      <c r="AV64" s="337"/>
      <c r="AW64" s="337"/>
      <c r="AX64" s="337"/>
      <c r="AY64" s="337"/>
      <c r="AZ64" s="337"/>
      <c r="BA64" s="337"/>
      <c r="BB64" s="338"/>
      <c r="BC64" s="339"/>
      <c r="BD64" s="340"/>
      <c r="BE64" s="341"/>
    </row>
    <row r="65" spans="1:57" ht="15" customHeight="1" x14ac:dyDescent="0.3">
      <c r="A65" s="241" t="str">
        <f t="shared" si="0"/>
        <v/>
      </c>
      <c r="B65" s="364"/>
      <c r="C65" s="362"/>
      <c r="D65" s="363"/>
      <c r="E65" s="366"/>
      <c r="F65" s="329"/>
      <c r="G65" s="329"/>
      <c r="H65" s="329"/>
      <c r="I65" s="329"/>
      <c r="J65" s="329"/>
      <c r="K65" s="329"/>
      <c r="L65" s="329"/>
      <c r="M65" s="329"/>
      <c r="N65" s="329"/>
      <c r="O65" s="330"/>
      <c r="P65" s="330"/>
      <c r="Q65" s="331"/>
      <c r="R65" s="331"/>
      <c r="S65" s="331"/>
      <c r="T65" s="331"/>
      <c r="U65" s="331"/>
      <c r="V65" s="331"/>
      <c r="W65" s="331"/>
      <c r="X65" s="332"/>
      <c r="Y65" s="331"/>
      <c r="Z65" s="329"/>
      <c r="AA65" s="333"/>
      <c r="AB65" s="334"/>
      <c r="AC65" s="335"/>
      <c r="AD65" s="336"/>
      <c r="AE65" s="336"/>
      <c r="AF65" s="336"/>
      <c r="AG65" s="336"/>
      <c r="AH65" s="336"/>
      <c r="AI65" s="336"/>
      <c r="AJ65" s="336"/>
      <c r="AK65" s="336"/>
      <c r="AL65" s="336"/>
      <c r="AM65" s="336"/>
      <c r="AN65" s="336"/>
      <c r="AO65" s="336"/>
      <c r="AP65" s="337"/>
      <c r="AQ65" s="337"/>
      <c r="AR65" s="337"/>
      <c r="AS65" s="337"/>
      <c r="AT65" s="337"/>
      <c r="AU65" s="337"/>
      <c r="AV65" s="337"/>
      <c r="AW65" s="337"/>
      <c r="AX65" s="337"/>
      <c r="AY65" s="337"/>
      <c r="AZ65" s="337"/>
      <c r="BA65" s="337"/>
      <c r="BB65" s="338"/>
      <c r="BC65" s="339"/>
      <c r="BD65" s="340"/>
      <c r="BE65" s="341"/>
    </row>
    <row r="66" spans="1:57" ht="15" customHeight="1" x14ac:dyDescent="0.3">
      <c r="A66" s="241" t="str">
        <f t="shared" si="0"/>
        <v/>
      </c>
      <c r="B66" s="364"/>
      <c r="C66" s="362"/>
      <c r="D66" s="363"/>
      <c r="E66" s="366"/>
      <c r="F66" s="347"/>
      <c r="G66" s="329"/>
      <c r="H66" s="329"/>
      <c r="I66" s="329"/>
      <c r="J66" s="329"/>
      <c r="K66" s="329"/>
      <c r="L66" s="329"/>
      <c r="M66" s="329"/>
      <c r="N66" s="329"/>
      <c r="O66" s="330"/>
      <c r="P66" s="330"/>
      <c r="Q66" s="331"/>
      <c r="R66" s="331"/>
      <c r="S66" s="331"/>
      <c r="T66" s="331"/>
      <c r="U66" s="331"/>
      <c r="V66" s="331"/>
      <c r="W66" s="331"/>
      <c r="X66" s="332"/>
      <c r="Y66" s="331"/>
      <c r="Z66" s="329"/>
      <c r="AA66" s="333"/>
      <c r="AB66" s="334"/>
      <c r="AC66" s="335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  <c r="AP66" s="337"/>
      <c r="AQ66" s="337"/>
      <c r="AR66" s="337"/>
      <c r="AS66" s="337"/>
      <c r="AT66" s="337"/>
      <c r="AU66" s="337"/>
      <c r="AV66" s="337"/>
      <c r="AW66" s="337"/>
      <c r="AX66" s="337"/>
      <c r="AY66" s="337"/>
      <c r="AZ66" s="337"/>
      <c r="BA66" s="337"/>
      <c r="BB66" s="338"/>
      <c r="BC66" s="339"/>
      <c r="BD66" s="340"/>
      <c r="BE66" s="341"/>
    </row>
    <row r="67" spans="1:57" ht="15" customHeight="1" x14ac:dyDescent="0.3">
      <c r="A67" s="241" t="str">
        <f t="shared" si="0"/>
        <v/>
      </c>
      <c r="B67" s="364"/>
      <c r="C67" s="362"/>
      <c r="D67" s="363"/>
      <c r="E67" s="366"/>
      <c r="F67" s="329"/>
      <c r="G67" s="329"/>
      <c r="H67" s="329"/>
      <c r="I67" s="329"/>
      <c r="J67" s="329"/>
      <c r="K67" s="329"/>
      <c r="L67" s="329"/>
      <c r="M67" s="329"/>
      <c r="N67" s="329"/>
      <c r="O67" s="330"/>
      <c r="P67" s="330"/>
      <c r="Q67" s="331"/>
      <c r="R67" s="331"/>
      <c r="S67" s="331"/>
      <c r="T67" s="331"/>
      <c r="U67" s="331"/>
      <c r="V67" s="331"/>
      <c r="W67" s="331"/>
      <c r="X67" s="332"/>
      <c r="Y67" s="331"/>
      <c r="Z67" s="329"/>
      <c r="AA67" s="333"/>
      <c r="AB67" s="334"/>
      <c r="AC67" s="335"/>
      <c r="AD67" s="336"/>
      <c r="AE67" s="336"/>
      <c r="AF67" s="336"/>
      <c r="AG67" s="336"/>
      <c r="AH67" s="336"/>
      <c r="AI67" s="336"/>
      <c r="AJ67" s="336"/>
      <c r="AK67" s="336"/>
      <c r="AL67" s="336"/>
      <c r="AM67" s="336"/>
      <c r="AN67" s="336"/>
      <c r="AO67" s="336"/>
      <c r="AP67" s="337"/>
      <c r="AQ67" s="337"/>
      <c r="AR67" s="337"/>
      <c r="AS67" s="337"/>
      <c r="AT67" s="337"/>
      <c r="AU67" s="337"/>
      <c r="AV67" s="337"/>
      <c r="AW67" s="337"/>
      <c r="AX67" s="337"/>
      <c r="AY67" s="337"/>
      <c r="AZ67" s="337"/>
      <c r="BA67" s="337"/>
      <c r="BB67" s="338"/>
      <c r="BC67" s="339"/>
      <c r="BD67" s="340"/>
      <c r="BE67" s="341"/>
    </row>
    <row r="68" spans="1:57" ht="14.25" customHeight="1" x14ac:dyDescent="0.3">
      <c r="A68" s="241" t="str">
        <f t="shared" ref="A68:A131" si="1">CONCATENATE(B68,C68)</f>
        <v/>
      </c>
      <c r="B68" s="371"/>
      <c r="C68" s="362"/>
      <c r="D68" s="363"/>
      <c r="E68" s="370"/>
      <c r="F68" s="327"/>
      <c r="G68" s="329"/>
      <c r="H68" s="329"/>
      <c r="I68" s="329"/>
      <c r="J68" s="329"/>
      <c r="K68" s="329"/>
      <c r="L68" s="329"/>
      <c r="M68" s="329"/>
      <c r="N68" s="329"/>
      <c r="O68" s="330"/>
      <c r="P68" s="330"/>
      <c r="Q68" s="331"/>
      <c r="R68" s="331"/>
      <c r="S68" s="331"/>
      <c r="T68" s="331"/>
      <c r="U68" s="331"/>
      <c r="V68" s="331"/>
      <c r="W68" s="331"/>
      <c r="X68" s="332"/>
      <c r="Y68" s="331"/>
      <c r="Z68" s="329"/>
      <c r="AA68" s="333"/>
      <c r="AB68" s="334"/>
      <c r="AC68" s="335"/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  <c r="AP68" s="337"/>
      <c r="AQ68" s="337"/>
      <c r="AR68" s="337"/>
      <c r="AS68" s="337"/>
      <c r="AT68" s="337"/>
      <c r="AU68" s="337"/>
      <c r="AV68" s="337"/>
      <c r="AW68" s="337"/>
      <c r="AX68" s="337"/>
      <c r="AY68" s="337"/>
      <c r="AZ68" s="337"/>
      <c r="BA68" s="337"/>
      <c r="BB68" s="338"/>
      <c r="BC68" s="339"/>
      <c r="BD68" s="340"/>
      <c r="BE68" s="341"/>
    </row>
    <row r="69" spans="1:57" ht="15" customHeight="1" x14ac:dyDescent="0.3">
      <c r="A69" s="241" t="str">
        <f t="shared" si="1"/>
        <v/>
      </c>
      <c r="B69" s="371"/>
      <c r="C69" s="362"/>
      <c r="D69" s="363"/>
      <c r="E69" s="366"/>
      <c r="F69" s="347"/>
      <c r="G69" s="329"/>
      <c r="H69" s="329"/>
      <c r="I69" s="329"/>
      <c r="J69" s="329"/>
      <c r="K69" s="329"/>
      <c r="L69" s="329"/>
      <c r="M69" s="329"/>
      <c r="N69" s="329"/>
      <c r="O69" s="330"/>
      <c r="P69" s="330"/>
      <c r="Q69" s="331"/>
      <c r="R69" s="331"/>
      <c r="S69" s="331"/>
      <c r="T69" s="331"/>
      <c r="U69" s="331"/>
      <c r="V69" s="331"/>
      <c r="W69" s="331"/>
      <c r="X69" s="332"/>
      <c r="Y69" s="331"/>
      <c r="Z69" s="329"/>
      <c r="AA69" s="333"/>
      <c r="AB69" s="334"/>
      <c r="AC69" s="335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7"/>
      <c r="AQ69" s="337"/>
      <c r="AR69" s="337"/>
      <c r="AS69" s="337"/>
      <c r="AT69" s="337"/>
      <c r="AU69" s="337"/>
      <c r="AV69" s="337"/>
      <c r="AW69" s="337"/>
      <c r="AX69" s="337"/>
      <c r="AY69" s="337"/>
      <c r="AZ69" s="337"/>
      <c r="BA69" s="337"/>
      <c r="BB69" s="338"/>
      <c r="BC69" s="339"/>
      <c r="BD69" s="340"/>
      <c r="BE69" s="341"/>
    </row>
    <row r="70" spans="1:57" ht="15" customHeight="1" x14ac:dyDescent="0.3">
      <c r="A70" s="241" t="str">
        <f t="shared" si="1"/>
        <v/>
      </c>
      <c r="B70" s="364"/>
      <c r="C70" s="362"/>
      <c r="D70" s="363"/>
      <c r="E70" s="366"/>
      <c r="F70" s="347"/>
      <c r="G70" s="329"/>
      <c r="H70" s="329"/>
      <c r="I70" s="329"/>
      <c r="J70" s="329"/>
      <c r="K70" s="329"/>
      <c r="L70" s="329"/>
      <c r="M70" s="329"/>
      <c r="N70" s="329"/>
      <c r="O70" s="330"/>
      <c r="P70" s="330"/>
      <c r="Q70" s="331"/>
      <c r="R70" s="331"/>
      <c r="S70" s="331"/>
      <c r="T70" s="331"/>
      <c r="U70" s="331"/>
      <c r="V70" s="331"/>
      <c r="W70" s="331"/>
      <c r="X70" s="332"/>
      <c r="Y70" s="331"/>
      <c r="Z70" s="329"/>
      <c r="AA70" s="333"/>
      <c r="AB70" s="334"/>
      <c r="AC70" s="335"/>
      <c r="AD70" s="336"/>
      <c r="AE70" s="336"/>
      <c r="AF70" s="336"/>
      <c r="AG70" s="336"/>
      <c r="AH70" s="336"/>
      <c r="AI70" s="336"/>
      <c r="AJ70" s="336"/>
      <c r="AK70" s="336"/>
      <c r="AL70" s="336"/>
      <c r="AM70" s="336"/>
      <c r="AN70" s="336"/>
      <c r="AO70" s="336"/>
      <c r="AP70" s="337"/>
      <c r="AQ70" s="337"/>
      <c r="AR70" s="337"/>
      <c r="AS70" s="337"/>
      <c r="AT70" s="337"/>
      <c r="AU70" s="337"/>
      <c r="AV70" s="337"/>
      <c r="AW70" s="337"/>
      <c r="AX70" s="337"/>
      <c r="AY70" s="337"/>
      <c r="AZ70" s="337"/>
      <c r="BA70" s="337"/>
      <c r="BB70" s="338"/>
      <c r="BC70" s="339"/>
      <c r="BD70" s="340"/>
      <c r="BE70" s="341"/>
    </row>
    <row r="71" spans="1:57" ht="15" customHeight="1" x14ac:dyDescent="0.3">
      <c r="A71" s="241" t="str">
        <f t="shared" si="1"/>
        <v/>
      </c>
      <c r="B71" s="364"/>
      <c r="C71" s="362"/>
      <c r="D71" s="363"/>
      <c r="E71" s="366"/>
      <c r="F71" s="327"/>
      <c r="G71" s="329"/>
      <c r="H71" s="329"/>
      <c r="I71" s="329"/>
      <c r="J71" s="329"/>
      <c r="K71" s="329"/>
      <c r="L71" s="329"/>
      <c r="M71" s="329"/>
      <c r="N71" s="329"/>
      <c r="O71" s="330"/>
      <c r="P71" s="330"/>
      <c r="Q71" s="331"/>
      <c r="R71" s="331"/>
      <c r="S71" s="331"/>
      <c r="T71" s="331"/>
      <c r="U71" s="331"/>
      <c r="V71" s="331"/>
      <c r="W71" s="331"/>
      <c r="X71" s="332"/>
      <c r="Y71" s="331"/>
      <c r="Z71" s="329"/>
      <c r="AA71" s="333"/>
      <c r="AB71" s="334"/>
      <c r="AC71" s="335"/>
      <c r="AD71" s="336"/>
      <c r="AE71" s="336"/>
      <c r="AF71" s="336"/>
      <c r="AG71" s="336"/>
      <c r="AH71" s="336"/>
      <c r="AI71" s="336"/>
      <c r="AJ71" s="336"/>
      <c r="AK71" s="336"/>
      <c r="AL71" s="336"/>
      <c r="AM71" s="336"/>
      <c r="AN71" s="336"/>
      <c r="AO71" s="336"/>
      <c r="AP71" s="337"/>
      <c r="AQ71" s="337"/>
      <c r="AR71" s="337"/>
      <c r="AS71" s="337"/>
      <c r="AT71" s="337"/>
      <c r="AU71" s="337"/>
      <c r="AV71" s="337"/>
      <c r="AW71" s="337"/>
      <c r="AX71" s="337"/>
      <c r="AY71" s="337"/>
      <c r="AZ71" s="337"/>
      <c r="BA71" s="337"/>
      <c r="BB71" s="338"/>
      <c r="BC71" s="339"/>
      <c r="BD71" s="340"/>
      <c r="BE71" s="341"/>
    </row>
    <row r="72" spans="1:57" ht="15" customHeight="1" x14ac:dyDescent="0.3">
      <c r="A72" s="241" t="str">
        <f t="shared" si="1"/>
        <v/>
      </c>
      <c r="B72" s="371"/>
      <c r="C72" s="362"/>
      <c r="D72" s="363"/>
      <c r="E72" s="366"/>
      <c r="F72" s="347"/>
      <c r="G72" s="329"/>
      <c r="H72" s="329"/>
      <c r="I72" s="329"/>
      <c r="J72" s="329"/>
      <c r="K72" s="329"/>
      <c r="L72" s="329"/>
      <c r="M72" s="329"/>
      <c r="N72" s="329"/>
      <c r="O72" s="330"/>
      <c r="P72" s="330"/>
      <c r="Q72" s="331"/>
      <c r="R72" s="331"/>
      <c r="S72" s="331"/>
      <c r="T72" s="331"/>
      <c r="U72" s="331"/>
      <c r="V72" s="331"/>
      <c r="W72" s="331"/>
      <c r="X72" s="332"/>
      <c r="Y72" s="331"/>
      <c r="Z72" s="329"/>
      <c r="AA72" s="333"/>
      <c r="AB72" s="334"/>
      <c r="AC72" s="335"/>
      <c r="AD72" s="336"/>
      <c r="AE72" s="336"/>
      <c r="AF72" s="336"/>
      <c r="AG72" s="336"/>
      <c r="AH72" s="336"/>
      <c r="AI72" s="336"/>
      <c r="AJ72" s="336"/>
      <c r="AK72" s="336"/>
      <c r="AL72" s="336"/>
      <c r="AM72" s="336"/>
      <c r="AN72" s="336"/>
      <c r="AO72" s="336"/>
      <c r="AP72" s="337"/>
      <c r="AQ72" s="337"/>
      <c r="AR72" s="337"/>
      <c r="AS72" s="337"/>
      <c r="AT72" s="337"/>
      <c r="AU72" s="337"/>
      <c r="AV72" s="337"/>
      <c r="AW72" s="337"/>
      <c r="AX72" s="337"/>
      <c r="AY72" s="337"/>
      <c r="AZ72" s="337"/>
      <c r="BA72" s="337"/>
      <c r="BB72" s="338"/>
      <c r="BC72" s="339"/>
      <c r="BD72" s="340"/>
      <c r="BE72" s="341"/>
    </row>
    <row r="73" spans="1:57" ht="15" customHeight="1" x14ac:dyDescent="0.3">
      <c r="A73" s="241" t="str">
        <f t="shared" si="1"/>
        <v/>
      </c>
      <c r="B73" s="371"/>
      <c r="C73" s="362"/>
      <c r="D73" s="363"/>
      <c r="E73" s="366"/>
      <c r="F73" s="327"/>
      <c r="G73" s="329"/>
      <c r="H73" s="329"/>
      <c r="I73" s="329"/>
      <c r="J73" s="329"/>
      <c r="K73" s="329"/>
      <c r="L73" s="329"/>
      <c r="M73" s="329"/>
      <c r="N73" s="329"/>
      <c r="O73" s="330"/>
      <c r="P73" s="330"/>
      <c r="Q73" s="331"/>
      <c r="R73" s="331"/>
      <c r="S73" s="331"/>
      <c r="T73" s="331"/>
      <c r="U73" s="331"/>
      <c r="V73" s="331"/>
      <c r="W73" s="331"/>
      <c r="X73" s="332"/>
      <c r="Y73" s="331"/>
      <c r="Z73" s="329"/>
      <c r="AA73" s="333"/>
      <c r="AB73" s="334"/>
      <c r="AC73" s="335"/>
      <c r="AD73" s="336"/>
      <c r="AE73" s="336"/>
      <c r="AF73" s="336"/>
      <c r="AG73" s="336"/>
      <c r="AH73" s="336"/>
      <c r="AI73" s="336"/>
      <c r="AJ73" s="336"/>
      <c r="AK73" s="336"/>
      <c r="AL73" s="336"/>
      <c r="AM73" s="336"/>
      <c r="AN73" s="336"/>
      <c r="AO73" s="336"/>
      <c r="AP73" s="337"/>
      <c r="AQ73" s="337"/>
      <c r="AR73" s="337"/>
      <c r="AS73" s="337"/>
      <c r="AT73" s="337"/>
      <c r="AU73" s="337"/>
      <c r="AV73" s="337"/>
      <c r="AW73" s="337"/>
      <c r="AX73" s="337"/>
      <c r="AY73" s="337"/>
      <c r="AZ73" s="337"/>
      <c r="BA73" s="337"/>
      <c r="BB73" s="338"/>
      <c r="BC73" s="339"/>
      <c r="BD73" s="340"/>
      <c r="BE73" s="341"/>
    </row>
    <row r="74" spans="1:57" ht="15.75" customHeight="1" x14ac:dyDescent="0.3">
      <c r="A74" s="241" t="str">
        <f t="shared" si="1"/>
        <v/>
      </c>
      <c r="B74" s="371"/>
      <c r="C74" s="362"/>
      <c r="D74" s="363"/>
      <c r="E74" s="366"/>
      <c r="F74" s="327"/>
      <c r="G74" s="329"/>
      <c r="H74" s="329"/>
      <c r="I74" s="329"/>
      <c r="J74" s="329"/>
      <c r="K74" s="329"/>
      <c r="L74" s="329"/>
      <c r="M74" s="329"/>
      <c r="N74" s="329"/>
      <c r="O74" s="330"/>
      <c r="P74" s="330"/>
      <c r="Q74" s="331"/>
      <c r="R74" s="331"/>
      <c r="S74" s="331"/>
      <c r="T74" s="331"/>
      <c r="U74" s="331"/>
      <c r="V74" s="331"/>
      <c r="W74" s="331"/>
      <c r="X74" s="332"/>
      <c r="Y74" s="331"/>
      <c r="Z74" s="329"/>
      <c r="AA74" s="333"/>
      <c r="AB74" s="334"/>
      <c r="AC74" s="335"/>
      <c r="AD74" s="336"/>
      <c r="AE74" s="336"/>
      <c r="AF74" s="336"/>
      <c r="AG74" s="336"/>
      <c r="AH74" s="336"/>
      <c r="AI74" s="336"/>
      <c r="AJ74" s="336"/>
      <c r="AK74" s="336"/>
      <c r="AL74" s="336"/>
      <c r="AM74" s="336"/>
      <c r="AN74" s="336"/>
      <c r="AO74" s="336"/>
      <c r="AP74" s="337"/>
      <c r="AQ74" s="337"/>
      <c r="AR74" s="337"/>
      <c r="AS74" s="337"/>
      <c r="AT74" s="337"/>
      <c r="AU74" s="337"/>
      <c r="AV74" s="337"/>
      <c r="AW74" s="337"/>
      <c r="AX74" s="337"/>
      <c r="AY74" s="337"/>
      <c r="AZ74" s="337"/>
      <c r="BA74" s="337"/>
      <c r="BB74" s="338"/>
      <c r="BC74" s="339"/>
      <c r="BD74" s="340"/>
      <c r="BE74" s="341"/>
    </row>
    <row r="75" spans="1:57" ht="15" customHeight="1" x14ac:dyDescent="0.3">
      <c r="A75" s="241" t="str">
        <f t="shared" si="1"/>
        <v/>
      </c>
      <c r="B75" s="371"/>
      <c r="C75" s="362"/>
      <c r="D75" s="363"/>
      <c r="E75" s="366"/>
      <c r="F75" s="347"/>
      <c r="G75" s="329"/>
      <c r="H75" s="329"/>
      <c r="I75" s="329"/>
      <c r="J75" s="329"/>
      <c r="K75" s="329"/>
      <c r="L75" s="329"/>
      <c r="M75" s="329"/>
      <c r="N75" s="329"/>
      <c r="O75" s="330"/>
      <c r="P75" s="330"/>
      <c r="Q75" s="331"/>
      <c r="R75" s="331"/>
      <c r="S75" s="331"/>
      <c r="T75" s="331"/>
      <c r="U75" s="331"/>
      <c r="V75" s="331"/>
      <c r="W75" s="331"/>
      <c r="X75" s="332"/>
      <c r="Y75" s="331"/>
      <c r="Z75" s="329"/>
      <c r="AA75" s="333"/>
      <c r="AB75" s="334"/>
      <c r="AC75" s="335"/>
      <c r="AD75" s="336"/>
      <c r="AE75" s="336"/>
      <c r="AF75" s="336"/>
      <c r="AG75" s="336"/>
      <c r="AH75" s="336"/>
      <c r="AI75" s="336"/>
      <c r="AJ75" s="336"/>
      <c r="AK75" s="336"/>
      <c r="AL75" s="336"/>
      <c r="AM75" s="336"/>
      <c r="AN75" s="336"/>
      <c r="AO75" s="336"/>
      <c r="AP75" s="337"/>
      <c r="AQ75" s="337"/>
      <c r="AR75" s="337"/>
      <c r="AS75" s="337"/>
      <c r="AT75" s="337"/>
      <c r="AU75" s="337"/>
      <c r="AV75" s="337"/>
      <c r="AW75" s="337"/>
      <c r="AX75" s="337"/>
      <c r="AY75" s="337"/>
      <c r="AZ75" s="337"/>
      <c r="BA75" s="337"/>
      <c r="BB75" s="338"/>
      <c r="BC75" s="339"/>
      <c r="BD75" s="340"/>
      <c r="BE75" s="341"/>
    </row>
    <row r="76" spans="1:57" ht="16.5" customHeight="1" x14ac:dyDescent="0.3">
      <c r="A76" s="241" t="str">
        <f t="shared" si="1"/>
        <v/>
      </c>
      <c r="B76" s="364"/>
      <c r="C76" s="362"/>
      <c r="D76" s="363"/>
      <c r="E76" s="366"/>
      <c r="F76" s="327"/>
      <c r="G76" s="329"/>
      <c r="H76" s="329"/>
      <c r="I76" s="329"/>
      <c r="J76" s="329"/>
      <c r="K76" s="329"/>
      <c r="L76" s="329"/>
      <c r="M76" s="329"/>
      <c r="N76" s="329"/>
      <c r="O76" s="330"/>
      <c r="P76" s="330"/>
      <c r="Q76" s="331"/>
      <c r="R76" s="331"/>
      <c r="S76" s="331"/>
      <c r="T76" s="331"/>
      <c r="U76" s="331"/>
      <c r="V76" s="331"/>
      <c r="W76" s="331"/>
      <c r="X76" s="332"/>
      <c r="Y76" s="331"/>
      <c r="Z76" s="329"/>
      <c r="AA76" s="333"/>
      <c r="AB76" s="334"/>
      <c r="AC76" s="335"/>
      <c r="AD76" s="336"/>
      <c r="AE76" s="336"/>
      <c r="AF76" s="336"/>
      <c r="AG76" s="336"/>
      <c r="AH76" s="336"/>
      <c r="AI76" s="336"/>
      <c r="AJ76" s="336"/>
      <c r="AK76" s="336"/>
      <c r="AL76" s="336"/>
      <c r="AM76" s="336"/>
      <c r="AN76" s="336"/>
      <c r="AO76" s="336"/>
      <c r="AP76" s="337"/>
      <c r="AQ76" s="337"/>
      <c r="AR76" s="337"/>
      <c r="AS76" s="337"/>
      <c r="AT76" s="337"/>
      <c r="AU76" s="337"/>
      <c r="AV76" s="337"/>
      <c r="AW76" s="337"/>
      <c r="AX76" s="337"/>
      <c r="AY76" s="337"/>
      <c r="AZ76" s="337"/>
      <c r="BA76" s="337"/>
      <c r="BB76" s="338"/>
      <c r="BC76" s="339"/>
      <c r="BD76" s="340"/>
      <c r="BE76" s="341"/>
    </row>
    <row r="77" spans="1:57" ht="14.25" customHeight="1" x14ac:dyDescent="0.3">
      <c r="A77" s="241" t="str">
        <f t="shared" si="1"/>
        <v/>
      </c>
      <c r="B77" s="364"/>
      <c r="C77" s="362"/>
      <c r="D77" s="363"/>
      <c r="E77" s="366"/>
      <c r="F77" s="329"/>
      <c r="G77" s="329"/>
      <c r="H77" s="329"/>
      <c r="I77" s="329"/>
      <c r="J77" s="329"/>
      <c r="K77" s="329"/>
      <c r="L77" s="329"/>
      <c r="M77" s="329"/>
      <c r="N77" s="329"/>
      <c r="O77" s="330"/>
      <c r="P77" s="330"/>
      <c r="Q77" s="331"/>
      <c r="R77" s="331"/>
      <c r="S77" s="331"/>
      <c r="T77" s="331"/>
      <c r="U77" s="331"/>
      <c r="V77" s="331"/>
      <c r="W77" s="331"/>
      <c r="X77" s="332"/>
      <c r="Y77" s="331"/>
      <c r="Z77" s="329"/>
      <c r="AA77" s="333"/>
      <c r="AB77" s="334"/>
      <c r="AC77" s="335"/>
      <c r="AD77" s="336"/>
      <c r="AE77" s="336"/>
      <c r="AF77" s="336"/>
      <c r="AG77" s="336"/>
      <c r="AH77" s="336"/>
      <c r="AI77" s="336"/>
      <c r="AJ77" s="336"/>
      <c r="AK77" s="336"/>
      <c r="AL77" s="336"/>
      <c r="AM77" s="336"/>
      <c r="AN77" s="336"/>
      <c r="AO77" s="336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8"/>
      <c r="BC77" s="339"/>
      <c r="BD77" s="340"/>
      <c r="BE77" s="341"/>
    </row>
    <row r="78" spans="1:57" ht="15" customHeight="1" x14ac:dyDescent="0.3">
      <c r="A78" s="241" t="str">
        <f t="shared" si="1"/>
        <v/>
      </c>
      <c r="B78" s="364"/>
      <c r="C78" s="362"/>
      <c r="D78" s="363"/>
      <c r="E78" s="366"/>
      <c r="F78" s="329"/>
      <c r="G78" s="329"/>
      <c r="H78" s="329"/>
      <c r="I78" s="329"/>
      <c r="J78" s="329"/>
      <c r="K78" s="329"/>
      <c r="L78" s="329"/>
      <c r="M78" s="329"/>
      <c r="N78" s="329"/>
      <c r="O78" s="330"/>
      <c r="P78" s="330"/>
      <c r="Q78" s="331"/>
      <c r="R78" s="331"/>
      <c r="S78" s="331"/>
      <c r="T78" s="331"/>
      <c r="U78" s="331"/>
      <c r="V78" s="331"/>
      <c r="W78" s="331"/>
      <c r="X78" s="332"/>
      <c r="Y78" s="331"/>
      <c r="Z78" s="329"/>
      <c r="AA78" s="333"/>
      <c r="AB78" s="334"/>
      <c r="AC78" s="335"/>
      <c r="AD78" s="336"/>
      <c r="AE78" s="336"/>
      <c r="AF78" s="336"/>
      <c r="AG78" s="336"/>
      <c r="AH78" s="336"/>
      <c r="AI78" s="336"/>
      <c r="AJ78" s="336"/>
      <c r="AK78" s="336"/>
      <c r="AL78" s="336"/>
      <c r="AM78" s="336"/>
      <c r="AN78" s="336"/>
      <c r="AO78" s="336"/>
      <c r="AP78" s="337"/>
      <c r="AQ78" s="337"/>
      <c r="AR78" s="337"/>
      <c r="AS78" s="337"/>
      <c r="AT78" s="337"/>
      <c r="AU78" s="337"/>
      <c r="AV78" s="337"/>
      <c r="AW78" s="337"/>
      <c r="AX78" s="337"/>
      <c r="AY78" s="337"/>
      <c r="AZ78" s="337"/>
      <c r="BA78" s="337"/>
      <c r="BB78" s="338"/>
      <c r="BC78" s="339"/>
      <c r="BD78" s="340"/>
      <c r="BE78" s="341"/>
    </row>
    <row r="79" spans="1:57" ht="15" customHeight="1" x14ac:dyDescent="0.3">
      <c r="A79" s="241" t="str">
        <f t="shared" si="1"/>
        <v/>
      </c>
      <c r="B79" s="364"/>
      <c r="C79" s="362"/>
      <c r="D79" s="363"/>
      <c r="E79" s="366"/>
      <c r="F79" s="329"/>
      <c r="G79" s="329"/>
      <c r="H79" s="329"/>
      <c r="I79" s="329"/>
      <c r="J79" s="329"/>
      <c r="K79" s="329"/>
      <c r="L79" s="329"/>
      <c r="M79" s="329"/>
      <c r="N79" s="329"/>
      <c r="O79" s="330"/>
      <c r="P79" s="330"/>
      <c r="Q79" s="331"/>
      <c r="R79" s="331"/>
      <c r="S79" s="331"/>
      <c r="T79" s="331"/>
      <c r="U79" s="331"/>
      <c r="V79" s="331"/>
      <c r="W79" s="331"/>
      <c r="X79" s="332"/>
      <c r="Y79" s="331"/>
      <c r="Z79" s="329"/>
      <c r="AA79" s="333"/>
      <c r="AB79" s="334"/>
      <c r="AC79" s="335"/>
      <c r="AD79" s="336"/>
      <c r="AE79" s="336"/>
      <c r="AF79" s="336"/>
      <c r="AG79" s="336"/>
      <c r="AH79" s="336"/>
      <c r="AI79" s="336"/>
      <c r="AJ79" s="336"/>
      <c r="AK79" s="336"/>
      <c r="AL79" s="336"/>
      <c r="AM79" s="336"/>
      <c r="AN79" s="336"/>
      <c r="AO79" s="336"/>
      <c r="AP79" s="337"/>
      <c r="AQ79" s="337"/>
      <c r="AR79" s="337"/>
      <c r="AS79" s="337"/>
      <c r="AT79" s="337"/>
      <c r="AU79" s="337"/>
      <c r="AV79" s="337"/>
      <c r="AW79" s="337"/>
      <c r="AX79" s="337"/>
      <c r="AY79" s="337"/>
      <c r="AZ79" s="337"/>
      <c r="BA79" s="337"/>
      <c r="BB79" s="338"/>
      <c r="BC79" s="339"/>
      <c r="BD79" s="340"/>
      <c r="BE79" s="341"/>
    </row>
    <row r="80" spans="1:57" ht="15" customHeight="1" x14ac:dyDescent="0.3">
      <c r="A80" s="241" t="str">
        <f t="shared" si="1"/>
        <v/>
      </c>
      <c r="B80" s="371"/>
      <c r="C80" s="362"/>
      <c r="D80" s="363"/>
      <c r="E80" s="370"/>
      <c r="F80" s="327"/>
      <c r="G80" s="329"/>
      <c r="H80" s="329"/>
      <c r="I80" s="329"/>
      <c r="J80" s="329"/>
      <c r="K80" s="329"/>
      <c r="L80" s="329"/>
      <c r="M80" s="329"/>
      <c r="N80" s="329"/>
      <c r="O80" s="330"/>
      <c r="P80" s="330"/>
      <c r="Q80" s="331"/>
      <c r="R80" s="331"/>
      <c r="S80" s="331"/>
      <c r="T80" s="331"/>
      <c r="U80" s="331"/>
      <c r="V80" s="331"/>
      <c r="W80" s="331"/>
      <c r="X80" s="332"/>
      <c r="Y80" s="331"/>
      <c r="Z80" s="329"/>
      <c r="AA80" s="333"/>
      <c r="AB80" s="334"/>
      <c r="AC80" s="335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6"/>
      <c r="AP80" s="337"/>
      <c r="AQ80" s="337"/>
      <c r="AR80" s="337"/>
      <c r="AS80" s="337"/>
      <c r="AT80" s="337"/>
      <c r="AU80" s="337"/>
      <c r="AV80" s="337"/>
      <c r="AW80" s="337"/>
      <c r="AX80" s="337"/>
      <c r="AY80" s="337"/>
      <c r="AZ80" s="337"/>
      <c r="BA80" s="337"/>
      <c r="BB80" s="338"/>
      <c r="BC80" s="339"/>
      <c r="BD80" s="340"/>
      <c r="BE80" s="341"/>
    </row>
    <row r="81" spans="1:57" ht="15" customHeight="1" x14ac:dyDescent="0.3">
      <c r="A81" s="241" t="str">
        <f t="shared" si="1"/>
        <v/>
      </c>
      <c r="B81" s="371"/>
      <c r="C81" s="362"/>
      <c r="D81" s="363"/>
      <c r="E81" s="366"/>
      <c r="F81" s="327"/>
      <c r="G81" s="329"/>
      <c r="H81" s="329"/>
      <c r="I81" s="329"/>
      <c r="J81" s="329"/>
      <c r="K81" s="329"/>
      <c r="L81" s="329"/>
      <c r="M81" s="329"/>
      <c r="N81" s="329"/>
      <c r="O81" s="330"/>
      <c r="P81" s="330"/>
      <c r="Q81" s="331"/>
      <c r="R81" s="331"/>
      <c r="S81" s="331"/>
      <c r="T81" s="331"/>
      <c r="U81" s="331"/>
      <c r="V81" s="331"/>
      <c r="W81" s="331"/>
      <c r="X81" s="332"/>
      <c r="Y81" s="331"/>
      <c r="Z81" s="329"/>
      <c r="AA81" s="333"/>
      <c r="AB81" s="334"/>
      <c r="AC81" s="335"/>
      <c r="AD81" s="336"/>
      <c r="AE81" s="336"/>
      <c r="AF81" s="336"/>
      <c r="AG81" s="336"/>
      <c r="AH81" s="336"/>
      <c r="AI81" s="336"/>
      <c r="AJ81" s="336"/>
      <c r="AK81" s="336"/>
      <c r="AL81" s="336"/>
      <c r="AM81" s="336"/>
      <c r="AN81" s="336"/>
      <c r="AO81" s="336"/>
      <c r="AP81" s="337"/>
      <c r="AQ81" s="337"/>
      <c r="AR81" s="337"/>
      <c r="AS81" s="337"/>
      <c r="AT81" s="337"/>
      <c r="AU81" s="337"/>
      <c r="AV81" s="337"/>
      <c r="AW81" s="337"/>
      <c r="AX81" s="337"/>
      <c r="AY81" s="337"/>
      <c r="AZ81" s="337"/>
      <c r="BA81" s="337"/>
      <c r="BB81" s="338"/>
      <c r="BC81" s="339"/>
      <c r="BD81" s="340"/>
      <c r="BE81" s="341"/>
    </row>
    <row r="82" spans="1:57" ht="15" customHeight="1" x14ac:dyDescent="0.3">
      <c r="A82" s="241" t="str">
        <f t="shared" si="1"/>
        <v/>
      </c>
      <c r="B82" s="371"/>
      <c r="C82" s="362"/>
      <c r="D82" s="363"/>
      <c r="E82" s="366"/>
      <c r="F82" s="347"/>
      <c r="G82" s="329"/>
      <c r="H82" s="329"/>
      <c r="I82" s="329"/>
      <c r="J82" s="329"/>
      <c r="K82" s="329"/>
      <c r="L82" s="329"/>
      <c r="M82" s="329"/>
      <c r="N82" s="329"/>
      <c r="O82" s="330"/>
      <c r="P82" s="330"/>
      <c r="Q82" s="331"/>
      <c r="R82" s="331"/>
      <c r="S82" s="331"/>
      <c r="T82" s="331"/>
      <c r="U82" s="331"/>
      <c r="V82" s="331"/>
      <c r="W82" s="331"/>
      <c r="X82" s="332"/>
      <c r="Y82" s="331"/>
      <c r="Z82" s="329"/>
      <c r="AA82" s="333"/>
      <c r="AB82" s="334"/>
      <c r="AC82" s="335"/>
      <c r="AD82" s="336"/>
      <c r="AE82" s="336"/>
      <c r="AF82" s="336"/>
      <c r="AG82" s="336"/>
      <c r="AH82" s="336"/>
      <c r="AI82" s="336"/>
      <c r="AJ82" s="336"/>
      <c r="AK82" s="336"/>
      <c r="AL82" s="336"/>
      <c r="AM82" s="336"/>
      <c r="AN82" s="336"/>
      <c r="AO82" s="336"/>
      <c r="AP82" s="337"/>
      <c r="AQ82" s="337"/>
      <c r="AR82" s="337"/>
      <c r="AS82" s="337"/>
      <c r="AT82" s="337"/>
      <c r="AU82" s="337"/>
      <c r="AV82" s="337"/>
      <c r="AW82" s="337"/>
      <c r="AX82" s="337"/>
      <c r="AY82" s="337"/>
      <c r="AZ82" s="337"/>
      <c r="BA82" s="337"/>
      <c r="BB82" s="338"/>
      <c r="BC82" s="339"/>
      <c r="BD82" s="340"/>
      <c r="BE82" s="341"/>
    </row>
    <row r="83" spans="1:57" ht="15.75" customHeight="1" x14ac:dyDescent="0.3">
      <c r="A83" s="241" t="str">
        <f t="shared" si="1"/>
        <v/>
      </c>
      <c r="B83" s="364"/>
      <c r="C83" s="362"/>
      <c r="D83" s="363"/>
      <c r="E83" s="366"/>
      <c r="F83" s="327"/>
      <c r="G83" s="329"/>
      <c r="H83" s="329"/>
      <c r="I83" s="329"/>
      <c r="J83" s="329"/>
      <c r="K83" s="329"/>
      <c r="L83" s="329"/>
      <c r="M83" s="329"/>
      <c r="N83" s="329"/>
      <c r="O83" s="330"/>
      <c r="P83" s="330"/>
      <c r="Q83" s="331"/>
      <c r="R83" s="331"/>
      <c r="S83" s="331"/>
      <c r="T83" s="331"/>
      <c r="U83" s="331"/>
      <c r="V83" s="331"/>
      <c r="W83" s="331"/>
      <c r="X83" s="332"/>
      <c r="Y83" s="331"/>
      <c r="Z83" s="329"/>
      <c r="AA83" s="333"/>
      <c r="AB83" s="334"/>
      <c r="AC83" s="335"/>
      <c r="AD83" s="336"/>
      <c r="AE83" s="336"/>
      <c r="AF83" s="336"/>
      <c r="AG83" s="336"/>
      <c r="AH83" s="336"/>
      <c r="AI83" s="336"/>
      <c r="AJ83" s="336"/>
      <c r="AK83" s="336"/>
      <c r="AL83" s="336"/>
      <c r="AM83" s="336"/>
      <c r="AN83" s="336"/>
      <c r="AO83" s="336"/>
      <c r="AP83" s="337"/>
      <c r="AQ83" s="337"/>
      <c r="AR83" s="337"/>
      <c r="AS83" s="337"/>
      <c r="AT83" s="337"/>
      <c r="AU83" s="337"/>
      <c r="AV83" s="337"/>
      <c r="AW83" s="337"/>
      <c r="AX83" s="337"/>
      <c r="AY83" s="337"/>
      <c r="AZ83" s="337"/>
      <c r="BA83" s="337"/>
      <c r="BB83" s="338"/>
      <c r="BC83" s="339"/>
      <c r="BD83" s="340"/>
      <c r="BE83" s="341"/>
    </row>
    <row r="84" spans="1:57" ht="15" customHeight="1" x14ac:dyDescent="0.3">
      <c r="A84" s="241" t="str">
        <f t="shared" si="1"/>
        <v/>
      </c>
      <c r="B84" s="364"/>
      <c r="C84" s="362"/>
      <c r="D84" s="363"/>
      <c r="E84" s="366"/>
      <c r="F84" s="327"/>
      <c r="G84" s="329"/>
      <c r="H84" s="329"/>
      <c r="I84" s="329"/>
      <c r="J84" s="329"/>
      <c r="K84" s="329"/>
      <c r="L84" s="329"/>
      <c r="M84" s="329"/>
      <c r="N84" s="329"/>
      <c r="O84" s="330"/>
      <c r="P84" s="330"/>
      <c r="Q84" s="331"/>
      <c r="R84" s="331"/>
      <c r="S84" s="331"/>
      <c r="T84" s="331"/>
      <c r="U84" s="331"/>
      <c r="V84" s="331"/>
      <c r="W84" s="331"/>
      <c r="X84" s="332"/>
      <c r="Y84" s="331"/>
      <c r="Z84" s="329"/>
      <c r="AA84" s="333"/>
      <c r="AB84" s="334"/>
      <c r="AC84" s="335"/>
      <c r="AD84" s="336"/>
      <c r="AE84" s="336"/>
      <c r="AF84" s="336"/>
      <c r="AG84" s="336"/>
      <c r="AH84" s="336"/>
      <c r="AI84" s="336"/>
      <c r="AJ84" s="336"/>
      <c r="AK84" s="336"/>
      <c r="AL84" s="336"/>
      <c r="AM84" s="336"/>
      <c r="AN84" s="336"/>
      <c r="AO84" s="336"/>
      <c r="AP84" s="337"/>
      <c r="AQ84" s="337"/>
      <c r="AR84" s="337"/>
      <c r="AS84" s="337"/>
      <c r="AT84" s="337"/>
      <c r="AU84" s="337"/>
      <c r="AV84" s="337"/>
      <c r="AW84" s="337"/>
      <c r="AX84" s="337"/>
      <c r="AY84" s="337"/>
      <c r="AZ84" s="337"/>
      <c r="BA84" s="337"/>
      <c r="BB84" s="338"/>
      <c r="BC84" s="339"/>
      <c r="BD84" s="340"/>
      <c r="BE84" s="341"/>
    </row>
    <row r="85" spans="1:57" ht="15" customHeight="1" x14ac:dyDescent="0.3">
      <c r="A85" s="241" t="str">
        <f t="shared" si="1"/>
        <v/>
      </c>
      <c r="B85" s="371"/>
      <c r="C85" s="362"/>
      <c r="D85" s="363"/>
      <c r="E85" s="366"/>
      <c r="F85" s="347"/>
      <c r="G85" s="329"/>
      <c r="H85" s="329"/>
      <c r="I85" s="329"/>
      <c r="J85" s="329"/>
      <c r="K85" s="329"/>
      <c r="L85" s="329"/>
      <c r="M85" s="329"/>
      <c r="N85" s="329"/>
      <c r="O85" s="330"/>
      <c r="P85" s="330"/>
      <c r="Q85" s="331"/>
      <c r="R85" s="331"/>
      <c r="S85" s="331"/>
      <c r="T85" s="331"/>
      <c r="U85" s="331"/>
      <c r="V85" s="331"/>
      <c r="W85" s="331"/>
      <c r="X85" s="332"/>
      <c r="Y85" s="331"/>
      <c r="Z85" s="329"/>
      <c r="AA85" s="333"/>
      <c r="AB85" s="334"/>
      <c r="AC85" s="335"/>
      <c r="AD85" s="336"/>
      <c r="AE85" s="336"/>
      <c r="AF85" s="336"/>
      <c r="AG85" s="336"/>
      <c r="AH85" s="336"/>
      <c r="AI85" s="336"/>
      <c r="AJ85" s="336"/>
      <c r="AK85" s="336"/>
      <c r="AL85" s="336"/>
      <c r="AM85" s="336"/>
      <c r="AN85" s="336"/>
      <c r="AO85" s="336"/>
      <c r="AP85" s="337"/>
      <c r="AQ85" s="337"/>
      <c r="AR85" s="337"/>
      <c r="AS85" s="337"/>
      <c r="AT85" s="337"/>
      <c r="AU85" s="337"/>
      <c r="AV85" s="337"/>
      <c r="AW85" s="337"/>
      <c r="AX85" s="337"/>
      <c r="AY85" s="337"/>
      <c r="AZ85" s="337"/>
      <c r="BA85" s="337"/>
      <c r="BB85" s="338"/>
      <c r="BC85" s="339"/>
      <c r="BD85" s="340"/>
      <c r="BE85" s="341"/>
    </row>
    <row r="86" spans="1:57" ht="15" customHeight="1" x14ac:dyDescent="0.3">
      <c r="A86" s="241" t="str">
        <f t="shared" si="1"/>
        <v/>
      </c>
      <c r="B86" s="371"/>
      <c r="C86" s="362"/>
      <c r="D86" s="363"/>
      <c r="E86" s="366"/>
      <c r="F86" s="347"/>
      <c r="G86" s="329"/>
      <c r="H86" s="329"/>
      <c r="I86" s="329"/>
      <c r="J86" s="329"/>
      <c r="K86" s="329"/>
      <c r="L86" s="329"/>
      <c r="M86" s="329"/>
      <c r="N86" s="329"/>
      <c r="O86" s="330"/>
      <c r="P86" s="330"/>
      <c r="Q86" s="331"/>
      <c r="R86" s="331"/>
      <c r="S86" s="331"/>
      <c r="T86" s="331"/>
      <c r="U86" s="331"/>
      <c r="V86" s="331"/>
      <c r="W86" s="331"/>
      <c r="X86" s="332"/>
      <c r="Y86" s="331"/>
      <c r="Z86" s="329"/>
      <c r="AA86" s="333"/>
      <c r="AB86" s="334"/>
      <c r="AC86" s="335"/>
      <c r="AD86" s="336"/>
      <c r="AE86" s="336"/>
      <c r="AF86" s="336"/>
      <c r="AG86" s="336"/>
      <c r="AH86" s="336"/>
      <c r="AI86" s="336"/>
      <c r="AJ86" s="336"/>
      <c r="AK86" s="336"/>
      <c r="AL86" s="336"/>
      <c r="AM86" s="336"/>
      <c r="AN86" s="336"/>
      <c r="AO86" s="336"/>
      <c r="AP86" s="337"/>
      <c r="AQ86" s="337"/>
      <c r="AR86" s="337"/>
      <c r="AS86" s="337"/>
      <c r="AT86" s="337"/>
      <c r="AU86" s="337"/>
      <c r="AV86" s="337"/>
      <c r="AW86" s="337"/>
      <c r="AX86" s="337"/>
      <c r="AY86" s="337"/>
      <c r="AZ86" s="337"/>
      <c r="BA86" s="337"/>
      <c r="BB86" s="338"/>
      <c r="BC86" s="339"/>
      <c r="BD86" s="340"/>
      <c r="BE86" s="341"/>
    </row>
    <row r="87" spans="1:57" ht="15" customHeight="1" x14ac:dyDescent="0.3">
      <c r="A87" s="241" t="str">
        <f t="shared" si="1"/>
        <v/>
      </c>
      <c r="B87" s="364"/>
      <c r="C87" s="362"/>
      <c r="D87" s="363"/>
      <c r="E87" s="366"/>
      <c r="F87" s="327"/>
      <c r="G87" s="329"/>
      <c r="H87" s="329"/>
      <c r="I87" s="329"/>
      <c r="J87" s="329"/>
      <c r="K87" s="329"/>
      <c r="L87" s="329"/>
      <c r="M87" s="329"/>
      <c r="N87" s="329"/>
      <c r="O87" s="330"/>
      <c r="P87" s="330"/>
      <c r="Q87" s="331"/>
      <c r="R87" s="331"/>
      <c r="S87" s="331"/>
      <c r="T87" s="331"/>
      <c r="U87" s="331"/>
      <c r="V87" s="331"/>
      <c r="W87" s="331"/>
      <c r="X87" s="332"/>
      <c r="Y87" s="331"/>
      <c r="Z87" s="329"/>
      <c r="AA87" s="333"/>
      <c r="AB87" s="334"/>
      <c r="AC87" s="335"/>
      <c r="AD87" s="336"/>
      <c r="AE87" s="336"/>
      <c r="AF87" s="336"/>
      <c r="AG87" s="336"/>
      <c r="AH87" s="336"/>
      <c r="AI87" s="336"/>
      <c r="AJ87" s="336"/>
      <c r="AK87" s="336"/>
      <c r="AL87" s="336"/>
      <c r="AM87" s="336"/>
      <c r="AN87" s="336"/>
      <c r="AO87" s="336"/>
      <c r="AP87" s="337"/>
      <c r="AQ87" s="337"/>
      <c r="AR87" s="337"/>
      <c r="AS87" s="337"/>
      <c r="AT87" s="337"/>
      <c r="AU87" s="337"/>
      <c r="AV87" s="337"/>
      <c r="AW87" s="337"/>
      <c r="AX87" s="337"/>
      <c r="AY87" s="337"/>
      <c r="AZ87" s="337"/>
      <c r="BA87" s="337"/>
      <c r="BB87" s="338"/>
      <c r="BC87" s="339"/>
      <c r="BD87" s="340"/>
      <c r="BE87" s="341"/>
    </row>
    <row r="88" spans="1:57" ht="15" customHeight="1" x14ac:dyDescent="0.3">
      <c r="A88" s="241" t="str">
        <f t="shared" si="1"/>
        <v/>
      </c>
      <c r="B88" s="364"/>
      <c r="C88" s="362"/>
      <c r="D88" s="363"/>
      <c r="E88" s="366"/>
      <c r="F88" s="329"/>
      <c r="G88" s="329"/>
      <c r="H88" s="329"/>
      <c r="I88" s="329"/>
      <c r="J88" s="329"/>
      <c r="K88" s="329"/>
      <c r="L88" s="329"/>
      <c r="M88" s="329"/>
      <c r="N88" s="329"/>
      <c r="O88" s="330"/>
      <c r="P88" s="330"/>
      <c r="Q88" s="331"/>
      <c r="R88" s="331"/>
      <c r="S88" s="331"/>
      <c r="T88" s="331"/>
      <c r="U88" s="331"/>
      <c r="V88" s="331"/>
      <c r="W88" s="331"/>
      <c r="X88" s="332"/>
      <c r="Y88" s="331"/>
      <c r="Z88" s="329"/>
      <c r="AA88" s="333"/>
      <c r="AB88" s="334"/>
      <c r="AC88" s="335"/>
      <c r="AD88" s="336"/>
      <c r="AE88" s="336"/>
      <c r="AF88" s="336"/>
      <c r="AG88" s="336"/>
      <c r="AH88" s="336"/>
      <c r="AI88" s="336"/>
      <c r="AJ88" s="336"/>
      <c r="AK88" s="336"/>
      <c r="AL88" s="336"/>
      <c r="AM88" s="336"/>
      <c r="AN88" s="336"/>
      <c r="AO88" s="336"/>
      <c r="AP88" s="337"/>
      <c r="AQ88" s="337"/>
      <c r="AR88" s="337"/>
      <c r="AS88" s="337"/>
      <c r="AT88" s="337"/>
      <c r="AU88" s="337"/>
      <c r="AV88" s="337"/>
      <c r="AW88" s="337"/>
      <c r="AX88" s="337"/>
      <c r="AY88" s="337"/>
      <c r="AZ88" s="337"/>
      <c r="BA88" s="337"/>
      <c r="BB88" s="338"/>
      <c r="BC88" s="339"/>
      <c r="BD88" s="340"/>
      <c r="BE88" s="341"/>
    </row>
    <row r="89" spans="1:57" x14ac:dyDescent="0.3">
      <c r="A89" s="241" t="str">
        <f t="shared" si="1"/>
        <v/>
      </c>
      <c r="B89" s="364"/>
      <c r="C89" s="362"/>
      <c r="D89" s="363"/>
      <c r="E89" s="366"/>
      <c r="F89" s="329"/>
      <c r="G89" s="329"/>
      <c r="H89" s="329"/>
      <c r="I89" s="329"/>
      <c r="J89" s="329"/>
      <c r="K89" s="329"/>
      <c r="L89" s="329"/>
      <c r="M89" s="329"/>
      <c r="N89" s="329"/>
      <c r="O89" s="330"/>
      <c r="P89" s="330"/>
      <c r="Q89" s="331"/>
      <c r="R89" s="331"/>
      <c r="S89" s="331"/>
      <c r="T89" s="331"/>
      <c r="U89" s="331"/>
      <c r="V89" s="331"/>
      <c r="W89" s="331"/>
      <c r="X89" s="332"/>
      <c r="Y89" s="331"/>
      <c r="Z89" s="329"/>
      <c r="AA89" s="333"/>
      <c r="AB89" s="334"/>
      <c r="AC89" s="335"/>
      <c r="AD89" s="336"/>
      <c r="AE89" s="336"/>
      <c r="AF89" s="336"/>
      <c r="AG89" s="336"/>
      <c r="AH89" s="336"/>
      <c r="AI89" s="336"/>
      <c r="AJ89" s="336"/>
      <c r="AK89" s="336"/>
      <c r="AL89" s="336"/>
      <c r="AM89" s="336"/>
      <c r="AN89" s="336"/>
      <c r="AO89" s="336"/>
      <c r="AP89" s="337"/>
      <c r="AQ89" s="337"/>
      <c r="AR89" s="337"/>
      <c r="AS89" s="337"/>
      <c r="AT89" s="337"/>
      <c r="AU89" s="337"/>
      <c r="AV89" s="337"/>
      <c r="AW89" s="337"/>
      <c r="AX89" s="337"/>
      <c r="AY89" s="337"/>
      <c r="AZ89" s="337"/>
      <c r="BA89" s="337"/>
      <c r="BB89" s="338"/>
      <c r="BC89" s="339"/>
      <c r="BD89" s="340"/>
      <c r="BE89" s="341"/>
    </row>
    <row r="90" spans="1:57" x14ac:dyDescent="0.3">
      <c r="A90" s="241" t="str">
        <f t="shared" si="1"/>
        <v/>
      </c>
      <c r="B90" s="364"/>
      <c r="C90" s="362"/>
      <c r="D90" s="363"/>
      <c r="E90" s="366"/>
      <c r="F90" s="329"/>
      <c r="G90" s="329"/>
      <c r="H90" s="329"/>
      <c r="I90" s="329"/>
      <c r="J90" s="329"/>
      <c r="K90" s="329"/>
      <c r="L90" s="329"/>
      <c r="M90" s="329"/>
      <c r="N90" s="329"/>
      <c r="O90" s="330"/>
      <c r="P90" s="330"/>
      <c r="Q90" s="331"/>
      <c r="R90" s="331"/>
      <c r="S90" s="331"/>
      <c r="T90" s="331"/>
      <c r="U90" s="331"/>
      <c r="V90" s="331"/>
      <c r="W90" s="331"/>
      <c r="X90" s="332"/>
      <c r="Y90" s="331"/>
      <c r="Z90" s="329"/>
      <c r="AA90" s="333"/>
      <c r="AB90" s="334"/>
      <c r="AC90" s="335"/>
      <c r="AD90" s="336"/>
      <c r="AE90" s="336"/>
      <c r="AF90" s="336"/>
      <c r="AG90" s="336"/>
      <c r="AH90" s="336"/>
      <c r="AI90" s="336"/>
      <c r="AJ90" s="336"/>
      <c r="AK90" s="336"/>
      <c r="AL90" s="336"/>
      <c r="AM90" s="336"/>
      <c r="AN90" s="336"/>
      <c r="AO90" s="336"/>
      <c r="AP90" s="337"/>
      <c r="AQ90" s="337"/>
      <c r="AR90" s="337"/>
      <c r="AS90" s="337"/>
      <c r="AT90" s="337"/>
      <c r="AU90" s="337"/>
      <c r="AV90" s="337"/>
      <c r="AW90" s="337"/>
      <c r="AX90" s="337"/>
      <c r="AY90" s="337"/>
      <c r="AZ90" s="337"/>
      <c r="BA90" s="337"/>
      <c r="BB90" s="338"/>
      <c r="BC90" s="339"/>
      <c r="BD90" s="340"/>
      <c r="BE90" s="341"/>
    </row>
    <row r="91" spans="1:57" ht="15" customHeight="1" x14ac:dyDescent="0.3">
      <c r="A91" s="241" t="str">
        <f t="shared" si="1"/>
        <v/>
      </c>
      <c r="B91" s="364"/>
      <c r="C91" s="362"/>
      <c r="D91" s="363"/>
      <c r="E91" s="366"/>
      <c r="F91" s="347"/>
      <c r="G91" s="329"/>
      <c r="H91" s="329"/>
      <c r="I91" s="329"/>
      <c r="J91" s="329"/>
      <c r="K91" s="329"/>
      <c r="L91" s="329"/>
      <c r="M91" s="329"/>
      <c r="N91" s="329"/>
      <c r="O91" s="330"/>
      <c r="P91" s="330"/>
      <c r="Q91" s="331"/>
      <c r="R91" s="331"/>
      <c r="S91" s="331"/>
      <c r="T91" s="331"/>
      <c r="U91" s="331"/>
      <c r="V91" s="331"/>
      <c r="W91" s="331"/>
      <c r="X91" s="332"/>
      <c r="Y91" s="331"/>
      <c r="Z91" s="329"/>
      <c r="AA91" s="333"/>
      <c r="AB91" s="334"/>
      <c r="AC91" s="335"/>
      <c r="AD91" s="336"/>
      <c r="AE91" s="336"/>
      <c r="AF91" s="336"/>
      <c r="AG91" s="336"/>
      <c r="AH91" s="336"/>
      <c r="AI91" s="336"/>
      <c r="AJ91" s="336"/>
      <c r="AK91" s="336"/>
      <c r="AL91" s="336"/>
      <c r="AM91" s="336"/>
      <c r="AN91" s="336"/>
      <c r="AO91" s="336"/>
      <c r="AP91" s="337"/>
      <c r="AQ91" s="337"/>
      <c r="AR91" s="337"/>
      <c r="AS91" s="337"/>
      <c r="AT91" s="337"/>
      <c r="AU91" s="337"/>
      <c r="AV91" s="337"/>
      <c r="AW91" s="337"/>
      <c r="AX91" s="337"/>
      <c r="AY91" s="337"/>
      <c r="AZ91" s="337"/>
      <c r="BA91" s="337"/>
      <c r="BB91" s="338"/>
      <c r="BC91" s="339"/>
      <c r="BD91" s="340"/>
      <c r="BE91" s="341"/>
    </row>
    <row r="92" spans="1:57" x14ac:dyDescent="0.3">
      <c r="A92" s="241" t="str">
        <f t="shared" si="1"/>
        <v/>
      </c>
      <c r="B92" s="371"/>
      <c r="C92" s="362"/>
      <c r="D92" s="363"/>
      <c r="E92" s="366"/>
      <c r="F92" s="347"/>
      <c r="G92" s="329"/>
      <c r="H92" s="329"/>
      <c r="I92" s="329"/>
      <c r="J92" s="329"/>
      <c r="K92" s="329"/>
      <c r="L92" s="329"/>
      <c r="M92" s="329"/>
      <c r="N92" s="329"/>
      <c r="O92" s="330"/>
      <c r="P92" s="330"/>
      <c r="Q92" s="331"/>
      <c r="R92" s="331"/>
      <c r="S92" s="331"/>
      <c r="T92" s="331"/>
      <c r="U92" s="331"/>
      <c r="V92" s="331"/>
      <c r="W92" s="331"/>
      <c r="X92" s="332"/>
      <c r="Y92" s="331"/>
      <c r="Z92" s="329"/>
      <c r="AA92" s="333"/>
      <c r="AB92" s="334"/>
      <c r="AC92" s="335"/>
      <c r="AD92" s="336"/>
      <c r="AE92" s="336"/>
      <c r="AF92" s="336"/>
      <c r="AG92" s="336"/>
      <c r="AH92" s="336"/>
      <c r="AI92" s="336"/>
      <c r="AJ92" s="336"/>
      <c r="AK92" s="336"/>
      <c r="AL92" s="336"/>
      <c r="AM92" s="336"/>
      <c r="AN92" s="336"/>
      <c r="AO92" s="336"/>
      <c r="AP92" s="337"/>
      <c r="AQ92" s="337"/>
      <c r="AR92" s="337"/>
      <c r="AS92" s="337"/>
      <c r="AT92" s="337"/>
      <c r="AU92" s="337"/>
      <c r="AV92" s="337"/>
      <c r="AW92" s="337"/>
      <c r="AX92" s="337"/>
      <c r="AY92" s="337"/>
      <c r="AZ92" s="337"/>
      <c r="BA92" s="337"/>
      <c r="BB92" s="338"/>
      <c r="BC92" s="339"/>
      <c r="BD92" s="340"/>
      <c r="BE92" s="341"/>
    </row>
    <row r="93" spans="1:57" x14ac:dyDescent="0.3">
      <c r="A93" s="241" t="str">
        <f t="shared" si="1"/>
        <v/>
      </c>
      <c r="B93" s="371"/>
      <c r="C93" s="362"/>
      <c r="D93" s="363"/>
      <c r="E93" s="366"/>
      <c r="F93" s="327"/>
      <c r="G93" s="329"/>
      <c r="H93" s="329"/>
      <c r="I93" s="329"/>
      <c r="J93" s="329"/>
      <c r="K93" s="329"/>
      <c r="L93" s="329"/>
      <c r="M93" s="329"/>
      <c r="N93" s="329"/>
      <c r="O93" s="330"/>
      <c r="P93" s="330"/>
      <c r="Q93" s="331"/>
      <c r="R93" s="331"/>
      <c r="S93" s="331"/>
      <c r="T93" s="331"/>
      <c r="U93" s="331"/>
      <c r="V93" s="331"/>
      <c r="W93" s="331"/>
      <c r="X93" s="332"/>
      <c r="Y93" s="331"/>
      <c r="Z93" s="329"/>
      <c r="AA93" s="333"/>
      <c r="AB93" s="334"/>
      <c r="AC93" s="335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6"/>
      <c r="AP93" s="337"/>
      <c r="AQ93" s="337"/>
      <c r="AR93" s="337"/>
      <c r="AS93" s="337"/>
      <c r="AT93" s="337"/>
      <c r="AU93" s="337"/>
      <c r="AV93" s="337"/>
      <c r="AW93" s="337"/>
      <c r="AX93" s="337"/>
      <c r="AY93" s="337"/>
      <c r="AZ93" s="337"/>
      <c r="BA93" s="337"/>
      <c r="BB93" s="338"/>
      <c r="BC93" s="339"/>
      <c r="BD93" s="340"/>
      <c r="BE93" s="341"/>
    </row>
    <row r="94" spans="1:57" x14ac:dyDescent="0.3">
      <c r="A94" s="241" t="str">
        <f t="shared" si="1"/>
        <v/>
      </c>
      <c r="B94" s="371"/>
      <c r="C94" s="362"/>
      <c r="D94" s="363"/>
      <c r="E94" s="366"/>
      <c r="F94" s="347"/>
      <c r="G94" s="329"/>
      <c r="H94" s="329"/>
      <c r="I94" s="329"/>
      <c r="J94" s="329"/>
      <c r="K94" s="329"/>
      <c r="L94" s="329"/>
      <c r="M94" s="329"/>
      <c r="N94" s="329"/>
      <c r="O94" s="330"/>
      <c r="P94" s="330"/>
      <c r="Q94" s="331"/>
      <c r="R94" s="331"/>
      <c r="S94" s="331"/>
      <c r="T94" s="331"/>
      <c r="U94" s="331"/>
      <c r="V94" s="331"/>
      <c r="W94" s="331"/>
      <c r="X94" s="332"/>
      <c r="Y94" s="331"/>
      <c r="Z94" s="329"/>
      <c r="AA94" s="333"/>
      <c r="AB94" s="334"/>
      <c r="AC94" s="335"/>
      <c r="AD94" s="336"/>
      <c r="AE94" s="336"/>
      <c r="AF94" s="336"/>
      <c r="AG94" s="336"/>
      <c r="AH94" s="336"/>
      <c r="AI94" s="336"/>
      <c r="AJ94" s="336"/>
      <c r="AK94" s="336"/>
      <c r="AL94" s="336"/>
      <c r="AM94" s="336"/>
      <c r="AN94" s="336"/>
      <c r="AO94" s="336"/>
      <c r="AP94" s="337"/>
      <c r="AQ94" s="337"/>
      <c r="AR94" s="337"/>
      <c r="AS94" s="337"/>
      <c r="AT94" s="337"/>
      <c r="AU94" s="337"/>
      <c r="AV94" s="337"/>
      <c r="AW94" s="337"/>
      <c r="AX94" s="337"/>
      <c r="AY94" s="337"/>
      <c r="AZ94" s="337"/>
      <c r="BA94" s="337"/>
      <c r="BB94" s="338"/>
      <c r="BC94" s="339"/>
      <c r="BD94" s="340"/>
      <c r="BE94" s="341"/>
    </row>
    <row r="95" spans="1:57" x14ac:dyDescent="0.3">
      <c r="A95" s="241" t="str">
        <f t="shared" si="1"/>
        <v/>
      </c>
      <c r="B95" s="364"/>
      <c r="C95" s="362"/>
      <c r="D95" s="363"/>
      <c r="E95" s="366"/>
      <c r="F95" s="327"/>
      <c r="G95" s="329"/>
      <c r="H95" s="329"/>
      <c r="I95" s="329"/>
      <c r="J95" s="329"/>
      <c r="K95" s="329"/>
      <c r="L95" s="329"/>
      <c r="M95" s="329"/>
      <c r="N95" s="329"/>
      <c r="O95" s="330"/>
      <c r="P95" s="330"/>
      <c r="Q95" s="331"/>
      <c r="R95" s="331"/>
      <c r="S95" s="331"/>
      <c r="T95" s="331"/>
      <c r="U95" s="331"/>
      <c r="V95" s="331"/>
      <c r="W95" s="331"/>
      <c r="X95" s="332"/>
      <c r="Y95" s="331"/>
      <c r="Z95" s="329"/>
      <c r="AA95" s="333"/>
      <c r="AB95" s="334"/>
      <c r="AC95" s="335"/>
      <c r="AD95" s="336"/>
      <c r="AE95" s="336"/>
      <c r="AF95" s="336"/>
      <c r="AG95" s="336"/>
      <c r="AH95" s="336"/>
      <c r="AI95" s="336"/>
      <c r="AJ95" s="336"/>
      <c r="AK95" s="336"/>
      <c r="AL95" s="336"/>
      <c r="AM95" s="336"/>
      <c r="AN95" s="336"/>
      <c r="AO95" s="336"/>
      <c r="AP95" s="337"/>
      <c r="AQ95" s="337"/>
      <c r="AR95" s="337"/>
      <c r="AS95" s="337"/>
      <c r="AT95" s="337"/>
      <c r="AU95" s="337"/>
      <c r="AV95" s="337"/>
      <c r="AW95" s="337"/>
      <c r="AX95" s="337"/>
      <c r="AY95" s="337"/>
      <c r="AZ95" s="337"/>
      <c r="BA95" s="337"/>
      <c r="BB95" s="338"/>
      <c r="BC95" s="339"/>
      <c r="BD95" s="340"/>
      <c r="BE95" s="341"/>
    </row>
    <row r="96" spans="1:57" x14ac:dyDescent="0.3">
      <c r="A96" s="241" t="str">
        <f t="shared" si="1"/>
        <v/>
      </c>
      <c r="B96" s="371"/>
      <c r="C96" s="362"/>
      <c r="D96" s="363"/>
      <c r="E96" s="366"/>
      <c r="F96" s="327"/>
      <c r="G96" s="329"/>
      <c r="H96" s="329"/>
      <c r="I96" s="329"/>
      <c r="J96" s="329"/>
      <c r="K96" s="329"/>
      <c r="L96" s="329"/>
      <c r="M96" s="329"/>
      <c r="N96" s="329"/>
      <c r="O96" s="330"/>
      <c r="P96" s="330"/>
      <c r="Q96" s="331"/>
      <c r="R96" s="331"/>
      <c r="S96" s="331"/>
      <c r="T96" s="331"/>
      <c r="U96" s="331"/>
      <c r="V96" s="331"/>
      <c r="W96" s="331"/>
      <c r="X96" s="332"/>
      <c r="Y96" s="331"/>
      <c r="Z96" s="329"/>
      <c r="AA96" s="333"/>
      <c r="AB96" s="334"/>
      <c r="AC96" s="335"/>
      <c r="AD96" s="336"/>
      <c r="AE96" s="336"/>
      <c r="AF96" s="336"/>
      <c r="AG96" s="336"/>
      <c r="AH96" s="336"/>
      <c r="AI96" s="336"/>
      <c r="AJ96" s="336"/>
      <c r="AK96" s="336"/>
      <c r="AL96" s="336"/>
      <c r="AM96" s="336"/>
      <c r="AN96" s="336"/>
      <c r="AO96" s="336"/>
      <c r="AP96" s="337"/>
      <c r="AQ96" s="337"/>
      <c r="AR96" s="337"/>
      <c r="AS96" s="337"/>
      <c r="AT96" s="337"/>
      <c r="AU96" s="337"/>
      <c r="AV96" s="337"/>
      <c r="AW96" s="337"/>
      <c r="AX96" s="337"/>
      <c r="AY96" s="337"/>
      <c r="AZ96" s="337"/>
      <c r="BA96" s="337"/>
      <c r="BB96" s="338"/>
      <c r="BC96" s="339"/>
      <c r="BD96" s="340"/>
      <c r="BE96" s="341"/>
    </row>
    <row r="97" spans="1:57" x14ac:dyDescent="0.3">
      <c r="A97" s="241" t="str">
        <f t="shared" si="1"/>
        <v/>
      </c>
      <c r="B97" s="371"/>
      <c r="C97" s="362"/>
      <c r="D97" s="363"/>
      <c r="E97" s="366"/>
      <c r="F97" s="347"/>
      <c r="G97" s="329"/>
      <c r="H97" s="329"/>
      <c r="I97" s="329"/>
      <c r="J97" s="329"/>
      <c r="K97" s="329"/>
      <c r="L97" s="329"/>
      <c r="M97" s="329"/>
      <c r="N97" s="329"/>
      <c r="O97" s="330"/>
      <c r="P97" s="330"/>
      <c r="Q97" s="331"/>
      <c r="R97" s="331"/>
      <c r="S97" s="331"/>
      <c r="T97" s="331"/>
      <c r="U97" s="331"/>
      <c r="V97" s="331"/>
      <c r="W97" s="331"/>
      <c r="X97" s="332"/>
      <c r="Y97" s="331"/>
      <c r="Z97" s="329"/>
      <c r="AA97" s="333"/>
      <c r="AB97" s="334"/>
      <c r="AC97" s="335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6"/>
      <c r="AP97" s="337"/>
      <c r="AQ97" s="337"/>
      <c r="AR97" s="337"/>
      <c r="AS97" s="337"/>
      <c r="AT97" s="337"/>
      <c r="AU97" s="337"/>
      <c r="AV97" s="337"/>
      <c r="AW97" s="337"/>
      <c r="AX97" s="337"/>
      <c r="AY97" s="337"/>
      <c r="AZ97" s="337"/>
      <c r="BA97" s="337"/>
      <c r="BB97" s="338"/>
      <c r="BC97" s="339"/>
      <c r="BD97" s="340"/>
      <c r="BE97" s="341"/>
    </row>
    <row r="98" spans="1:57" ht="15.75" customHeight="1" x14ac:dyDescent="0.3">
      <c r="A98" s="241" t="str">
        <f t="shared" si="1"/>
        <v/>
      </c>
      <c r="B98" s="371"/>
      <c r="C98" s="362"/>
      <c r="D98" s="363"/>
      <c r="E98" s="366"/>
      <c r="F98" s="347"/>
      <c r="G98" s="329"/>
      <c r="H98" s="329"/>
      <c r="I98" s="329"/>
      <c r="J98" s="329"/>
      <c r="K98" s="329"/>
      <c r="L98" s="329"/>
      <c r="M98" s="329"/>
      <c r="N98" s="329"/>
      <c r="O98" s="330"/>
      <c r="P98" s="330"/>
      <c r="Q98" s="331"/>
      <c r="R98" s="331"/>
      <c r="S98" s="331"/>
      <c r="T98" s="331"/>
      <c r="U98" s="331"/>
      <c r="V98" s="331"/>
      <c r="W98" s="331"/>
      <c r="X98" s="332"/>
      <c r="Y98" s="331"/>
      <c r="Z98" s="329"/>
      <c r="AA98" s="333"/>
      <c r="AB98" s="334"/>
      <c r="AC98" s="335"/>
      <c r="AD98" s="336"/>
      <c r="AE98" s="336"/>
      <c r="AF98" s="336"/>
      <c r="AG98" s="336"/>
      <c r="AH98" s="336"/>
      <c r="AI98" s="336"/>
      <c r="AJ98" s="336"/>
      <c r="AK98" s="336"/>
      <c r="AL98" s="336"/>
      <c r="AM98" s="336"/>
      <c r="AN98" s="336"/>
      <c r="AO98" s="336"/>
      <c r="AP98" s="337"/>
      <c r="AQ98" s="337"/>
      <c r="AR98" s="337"/>
      <c r="AS98" s="337"/>
      <c r="AT98" s="337"/>
      <c r="AU98" s="337"/>
      <c r="AV98" s="337"/>
      <c r="AW98" s="337"/>
      <c r="AX98" s="337"/>
      <c r="AY98" s="337"/>
      <c r="AZ98" s="337"/>
      <c r="BA98" s="337"/>
      <c r="BB98" s="338"/>
      <c r="BC98" s="339"/>
      <c r="BD98" s="340"/>
      <c r="BE98" s="341"/>
    </row>
    <row r="99" spans="1:57" x14ac:dyDescent="0.3">
      <c r="A99" s="241" t="str">
        <f t="shared" si="1"/>
        <v/>
      </c>
      <c r="B99" s="375"/>
      <c r="C99" s="362"/>
      <c r="D99" s="363"/>
      <c r="E99" s="366"/>
      <c r="F99" s="347"/>
      <c r="G99" s="329"/>
      <c r="H99" s="329"/>
      <c r="I99" s="329"/>
      <c r="J99" s="329"/>
      <c r="K99" s="329"/>
      <c r="L99" s="329"/>
      <c r="M99" s="329"/>
      <c r="N99" s="329"/>
      <c r="O99" s="330"/>
      <c r="P99" s="330"/>
      <c r="Q99" s="331"/>
      <c r="R99" s="331"/>
      <c r="S99" s="331"/>
      <c r="T99" s="331"/>
      <c r="U99" s="331"/>
      <c r="V99" s="331"/>
      <c r="W99" s="331"/>
      <c r="X99" s="332"/>
      <c r="Y99" s="331"/>
      <c r="Z99" s="329"/>
      <c r="AA99" s="333"/>
      <c r="AB99" s="334"/>
      <c r="AC99" s="335"/>
      <c r="AD99" s="336"/>
      <c r="AE99" s="336"/>
      <c r="AF99" s="336"/>
      <c r="AG99" s="336"/>
      <c r="AH99" s="336"/>
      <c r="AI99" s="336"/>
      <c r="AJ99" s="336"/>
      <c r="AK99" s="336"/>
      <c r="AL99" s="336"/>
      <c r="AM99" s="336"/>
      <c r="AN99" s="336"/>
      <c r="AO99" s="336"/>
      <c r="AP99" s="337"/>
      <c r="AQ99" s="337"/>
      <c r="AR99" s="337"/>
      <c r="AS99" s="337"/>
      <c r="AT99" s="337"/>
      <c r="AU99" s="337"/>
      <c r="AV99" s="337"/>
      <c r="AW99" s="337"/>
      <c r="AX99" s="337"/>
      <c r="AY99" s="337"/>
      <c r="AZ99" s="337"/>
      <c r="BA99" s="337"/>
      <c r="BB99" s="338"/>
      <c r="BC99" s="339"/>
      <c r="BD99" s="340"/>
      <c r="BE99" s="341"/>
    </row>
    <row r="100" spans="1:57" x14ac:dyDescent="0.3">
      <c r="A100" s="241" t="str">
        <f t="shared" si="1"/>
        <v/>
      </c>
      <c r="B100" s="375"/>
      <c r="C100" s="362"/>
      <c r="D100" s="363"/>
      <c r="E100" s="366"/>
      <c r="F100" s="347"/>
      <c r="G100" s="329"/>
      <c r="H100" s="329"/>
      <c r="I100" s="329"/>
      <c r="J100" s="329"/>
      <c r="K100" s="329"/>
      <c r="L100" s="329"/>
      <c r="M100" s="329"/>
      <c r="N100" s="329"/>
      <c r="O100" s="330"/>
      <c r="P100" s="330"/>
      <c r="Q100" s="331"/>
      <c r="R100" s="331"/>
      <c r="S100" s="331"/>
      <c r="T100" s="331"/>
      <c r="U100" s="331"/>
      <c r="V100" s="331"/>
      <c r="W100" s="331"/>
      <c r="X100" s="332"/>
      <c r="Y100" s="331"/>
      <c r="Z100" s="329"/>
      <c r="AA100" s="333"/>
      <c r="AB100" s="334"/>
      <c r="AC100" s="335"/>
      <c r="AD100" s="336"/>
      <c r="AE100" s="336"/>
      <c r="AF100" s="336"/>
      <c r="AG100" s="336"/>
      <c r="AH100" s="336"/>
      <c r="AI100" s="336"/>
      <c r="AJ100" s="336"/>
      <c r="AK100" s="336"/>
      <c r="AL100" s="336"/>
      <c r="AM100" s="336"/>
      <c r="AN100" s="336"/>
      <c r="AO100" s="336"/>
      <c r="AP100" s="337"/>
      <c r="AQ100" s="337"/>
      <c r="AR100" s="337"/>
      <c r="AS100" s="337"/>
      <c r="AT100" s="337"/>
      <c r="AU100" s="337"/>
      <c r="AV100" s="337"/>
      <c r="AW100" s="337"/>
      <c r="AX100" s="337"/>
      <c r="AY100" s="337"/>
      <c r="AZ100" s="337"/>
      <c r="BA100" s="337"/>
      <c r="BB100" s="338"/>
      <c r="BC100" s="339"/>
      <c r="BD100" s="340"/>
      <c r="BE100" s="341"/>
    </row>
    <row r="101" spans="1:57" x14ac:dyDescent="0.3">
      <c r="A101" s="241" t="str">
        <f t="shared" si="1"/>
        <v/>
      </c>
      <c r="B101" s="371"/>
      <c r="C101" s="362"/>
      <c r="D101" s="363"/>
      <c r="E101" s="366"/>
      <c r="F101" s="327"/>
      <c r="G101" s="329"/>
      <c r="H101" s="329"/>
      <c r="I101" s="329"/>
      <c r="J101" s="329"/>
      <c r="K101" s="329"/>
      <c r="L101" s="329"/>
      <c r="M101" s="329"/>
      <c r="N101" s="329"/>
      <c r="O101" s="330"/>
      <c r="P101" s="330"/>
      <c r="Q101" s="331"/>
      <c r="R101" s="331"/>
      <c r="S101" s="331"/>
      <c r="T101" s="331"/>
      <c r="U101" s="331"/>
      <c r="V101" s="331"/>
      <c r="W101" s="331"/>
      <c r="X101" s="332"/>
      <c r="Y101" s="331"/>
      <c r="Z101" s="329"/>
      <c r="AA101" s="333"/>
      <c r="AB101" s="334"/>
      <c r="AC101" s="335"/>
      <c r="AD101" s="336"/>
      <c r="AE101" s="336"/>
      <c r="AF101" s="336"/>
      <c r="AG101" s="336"/>
      <c r="AH101" s="336"/>
      <c r="AI101" s="336"/>
      <c r="AJ101" s="336"/>
      <c r="AK101" s="336"/>
      <c r="AL101" s="336"/>
      <c r="AM101" s="336"/>
      <c r="AN101" s="336"/>
      <c r="AO101" s="336"/>
      <c r="AP101" s="337"/>
      <c r="AQ101" s="337"/>
      <c r="AR101" s="337"/>
      <c r="AS101" s="337"/>
      <c r="AT101" s="337"/>
      <c r="AU101" s="337"/>
      <c r="AV101" s="337"/>
      <c r="AW101" s="337"/>
      <c r="AX101" s="337"/>
      <c r="AY101" s="337"/>
      <c r="AZ101" s="337"/>
      <c r="BA101" s="337"/>
      <c r="BB101" s="338"/>
      <c r="BC101" s="339"/>
      <c r="BD101" s="340"/>
      <c r="BE101" s="341"/>
    </row>
    <row r="102" spans="1:57" x14ac:dyDescent="0.3">
      <c r="A102" s="241" t="str">
        <f t="shared" si="1"/>
        <v/>
      </c>
      <c r="B102" s="364"/>
      <c r="C102" s="362"/>
      <c r="D102" s="363"/>
      <c r="E102" s="366"/>
      <c r="F102" s="327"/>
      <c r="G102" s="329"/>
      <c r="H102" s="329"/>
      <c r="I102" s="329"/>
      <c r="J102" s="329"/>
      <c r="K102" s="329"/>
      <c r="L102" s="329"/>
      <c r="M102" s="329"/>
      <c r="N102" s="329"/>
      <c r="O102" s="330"/>
      <c r="P102" s="330"/>
      <c r="Q102" s="331"/>
      <c r="R102" s="331"/>
      <c r="S102" s="331"/>
      <c r="T102" s="331"/>
      <c r="U102" s="331"/>
      <c r="V102" s="331"/>
      <c r="W102" s="331"/>
      <c r="X102" s="332"/>
      <c r="Y102" s="331"/>
      <c r="Z102" s="329"/>
      <c r="AA102" s="333"/>
      <c r="AB102" s="334"/>
      <c r="AC102" s="335"/>
      <c r="AD102" s="336"/>
      <c r="AE102" s="336"/>
      <c r="AF102" s="336"/>
      <c r="AG102" s="336"/>
      <c r="AH102" s="336"/>
      <c r="AI102" s="336"/>
      <c r="AJ102" s="336"/>
      <c r="AK102" s="336"/>
      <c r="AL102" s="336"/>
      <c r="AM102" s="336"/>
      <c r="AN102" s="336"/>
      <c r="AO102" s="336"/>
      <c r="AP102" s="337"/>
      <c r="AQ102" s="337"/>
      <c r="AR102" s="337"/>
      <c r="AS102" s="337"/>
      <c r="AT102" s="337"/>
      <c r="AU102" s="337"/>
      <c r="AV102" s="337"/>
      <c r="AW102" s="337"/>
      <c r="AX102" s="337"/>
      <c r="AY102" s="337"/>
      <c r="AZ102" s="337"/>
      <c r="BA102" s="337"/>
      <c r="BB102" s="338"/>
      <c r="BC102" s="339"/>
      <c r="BD102" s="340"/>
      <c r="BE102" s="341"/>
    </row>
    <row r="103" spans="1:57" x14ac:dyDescent="0.3">
      <c r="A103" s="241" t="str">
        <f t="shared" si="1"/>
        <v/>
      </c>
      <c r="B103" s="371"/>
      <c r="C103" s="362"/>
      <c r="D103" s="363"/>
      <c r="E103" s="366"/>
      <c r="F103" s="327"/>
      <c r="G103" s="329"/>
      <c r="H103" s="329"/>
      <c r="I103" s="329"/>
      <c r="J103" s="329"/>
      <c r="K103" s="329"/>
      <c r="L103" s="329"/>
      <c r="M103" s="329"/>
      <c r="N103" s="329"/>
      <c r="O103" s="330"/>
      <c r="P103" s="330"/>
      <c r="Q103" s="331"/>
      <c r="R103" s="331"/>
      <c r="S103" s="331"/>
      <c r="T103" s="331"/>
      <c r="U103" s="331"/>
      <c r="V103" s="331"/>
      <c r="W103" s="331"/>
      <c r="X103" s="332"/>
      <c r="Y103" s="331"/>
      <c r="Z103" s="329"/>
      <c r="AA103" s="333"/>
      <c r="AB103" s="334"/>
      <c r="AC103" s="335"/>
      <c r="AD103" s="336"/>
      <c r="AE103" s="336"/>
      <c r="AF103" s="336"/>
      <c r="AG103" s="336"/>
      <c r="AH103" s="336"/>
      <c r="AI103" s="336"/>
      <c r="AJ103" s="336"/>
      <c r="AK103" s="336"/>
      <c r="AL103" s="336"/>
      <c r="AM103" s="336"/>
      <c r="AN103" s="336"/>
      <c r="AO103" s="336"/>
      <c r="AP103" s="337"/>
      <c r="AQ103" s="337"/>
      <c r="AR103" s="337"/>
      <c r="AS103" s="337"/>
      <c r="AT103" s="337"/>
      <c r="AU103" s="337"/>
      <c r="AV103" s="337"/>
      <c r="AW103" s="337"/>
      <c r="AX103" s="337"/>
      <c r="AY103" s="337"/>
      <c r="AZ103" s="337"/>
      <c r="BA103" s="337"/>
      <c r="BB103" s="338"/>
      <c r="BC103" s="339"/>
      <c r="BD103" s="340"/>
      <c r="BE103" s="341"/>
    </row>
    <row r="104" spans="1:57" x14ac:dyDescent="0.3">
      <c r="A104" s="241" t="str">
        <f t="shared" si="1"/>
        <v/>
      </c>
      <c r="B104" s="371"/>
      <c r="C104" s="362"/>
      <c r="D104" s="363"/>
      <c r="E104" s="366"/>
      <c r="F104" s="347"/>
      <c r="G104" s="329"/>
      <c r="H104" s="329"/>
      <c r="I104" s="329"/>
      <c r="J104" s="329"/>
      <c r="K104" s="329"/>
      <c r="L104" s="329"/>
      <c r="M104" s="329"/>
      <c r="N104" s="329"/>
      <c r="O104" s="330"/>
      <c r="P104" s="330"/>
      <c r="Q104" s="331"/>
      <c r="R104" s="331"/>
      <c r="S104" s="331"/>
      <c r="T104" s="331"/>
      <c r="U104" s="331"/>
      <c r="V104" s="331"/>
      <c r="W104" s="331"/>
      <c r="X104" s="332"/>
      <c r="Y104" s="331"/>
      <c r="Z104" s="329"/>
      <c r="AA104" s="333"/>
      <c r="AB104" s="334"/>
      <c r="AC104" s="335"/>
      <c r="AD104" s="336"/>
      <c r="AE104" s="336"/>
      <c r="AF104" s="336"/>
      <c r="AG104" s="336"/>
      <c r="AH104" s="336"/>
      <c r="AI104" s="336"/>
      <c r="AJ104" s="336"/>
      <c r="AK104" s="336"/>
      <c r="AL104" s="336"/>
      <c r="AM104" s="336"/>
      <c r="AN104" s="336"/>
      <c r="AO104" s="336"/>
      <c r="AP104" s="337"/>
      <c r="AQ104" s="337"/>
      <c r="AR104" s="337"/>
      <c r="AS104" s="337"/>
      <c r="AT104" s="337"/>
      <c r="AU104" s="337"/>
      <c r="AV104" s="337"/>
      <c r="AW104" s="337"/>
      <c r="AX104" s="337"/>
      <c r="AY104" s="337"/>
      <c r="AZ104" s="337"/>
      <c r="BA104" s="337"/>
      <c r="BB104" s="338"/>
      <c r="BC104" s="339"/>
      <c r="BD104" s="340"/>
      <c r="BE104" s="341"/>
    </row>
    <row r="105" spans="1:57" ht="14.25" customHeight="1" x14ac:dyDescent="0.3">
      <c r="A105" s="241" t="str">
        <f t="shared" si="1"/>
        <v/>
      </c>
      <c r="B105" s="364"/>
      <c r="C105" s="362"/>
      <c r="D105" s="363"/>
      <c r="E105" s="366"/>
      <c r="F105" s="329"/>
      <c r="G105" s="329"/>
      <c r="H105" s="329"/>
      <c r="I105" s="329"/>
      <c r="J105" s="329"/>
      <c r="K105" s="329"/>
      <c r="L105" s="329"/>
      <c r="M105" s="329"/>
      <c r="N105" s="329"/>
      <c r="O105" s="330"/>
      <c r="P105" s="330"/>
      <c r="Q105" s="331"/>
      <c r="R105" s="331"/>
      <c r="S105" s="331"/>
      <c r="T105" s="331"/>
      <c r="U105" s="331"/>
      <c r="V105" s="331"/>
      <c r="W105" s="331"/>
      <c r="X105" s="332"/>
      <c r="Y105" s="331"/>
      <c r="Z105" s="329"/>
      <c r="AA105" s="333"/>
      <c r="AB105" s="334"/>
      <c r="AC105" s="335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7"/>
      <c r="AQ105" s="337"/>
      <c r="AR105" s="337"/>
      <c r="AS105" s="337"/>
      <c r="AT105" s="337"/>
      <c r="AU105" s="337"/>
      <c r="AV105" s="337"/>
      <c r="AW105" s="337"/>
      <c r="AX105" s="337"/>
      <c r="AY105" s="337"/>
      <c r="AZ105" s="337"/>
      <c r="BA105" s="337"/>
      <c r="BB105" s="338"/>
      <c r="BC105" s="339"/>
      <c r="BD105" s="340"/>
      <c r="BE105" s="341"/>
    </row>
    <row r="106" spans="1:57" x14ac:dyDescent="0.3">
      <c r="A106" s="241" t="str">
        <f t="shared" si="1"/>
        <v/>
      </c>
      <c r="B106" s="371"/>
      <c r="C106" s="362"/>
      <c r="D106" s="363"/>
      <c r="E106" s="376"/>
      <c r="F106" s="329"/>
      <c r="G106" s="329"/>
      <c r="H106" s="329"/>
      <c r="I106" s="329"/>
      <c r="J106" s="329"/>
      <c r="K106" s="329"/>
      <c r="L106" s="329"/>
      <c r="M106" s="329"/>
      <c r="N106" s="329"/>
      <c r="O106" s="330"/>
      <c r="P106" s="330"/>
      <c r="Q106" s="331"/>
      <c r="R106" s="331"/>
      <c r="S106" s="331"/>
      <c r="T106" s="331"/>
      <c r="U106" s="331"/>
      <c r="V106" s="331"/>
      <c r="W106" s="331"/>
      <c r="X106" s="332"/>
      <c r="Y106" s="331"/>
      <c r="Z106" s="329"/>
      <c r="AA106" s="333"/>
      <c r="AB106" s="334"/>
      <c r="AC106" s="335"/>
      <c r="AD106" s="336"/>
      <c r="AE106" s="336"/>
      <c r="AF106" s="336"/>
      <c r="AG106" s="336"/>
      <c r="AH106" s="336"/>
      <c r="AI106" s="336"/>
      <c r="AJ106" s="336"/>
      <c r="AK106" s="336"/>
      <c r="AL106" s="336"/>
      <c r="AM106" s="336"/>
      <c r="AN106" s="336"/>
      <c r="AO106" s="336"/>
      <c r="AP106" s="337"/>
      <c r="AQ106" s="337"/>
      <c r="AR106" s="337"/>
      <c r="AS106" s="337"/>
      <c r="AT106" s="337"/>
      <c r="AU106" s="337"/>
      <c r="AV106" s="337"/>
      <c r="AW106" s="337"/>
      <c r="AX106" s="337"/>
      <c r="AY106" s="337"/>
      <c r="AZ106" s="337"/>
      <c r="BA106" s="337"/>
      <c r="BB106" s="338"/>
      <c r="BC106" s="339"/>
      <c r="BD106" s="340"/>
      <c r="BE106" s="341"/>
    </row>
    <row r="107" spans="1:57" x14ac:dyDescent="0.3">
      <c r="A107" s="241" t="str">
        <f t="shared" si="1"/>
        <v/>
      </c>
      <c r="B107" s="371"/>
      <c r="C107" s="362"/>
      <c r="D107" s="363"/>
      <c r="E107" s="376"/>
      <c r="F107" s="329"/>
      <c r="G107" s="329"/>
      <c r="H107" s="329"/>
      <c r="I107" s="329"/>
      <c r="J107" s="329"/>
      <c r="K107" s="329"/>
      <c r="L107" s="329"/>
      <c r="M107" s="329"/>
      <c r="N107" s="329"/>
      <c r="O107" s="330"/>
      <c r="P107" s="330"/>
      <c r="Q107" s="331"/>
      <c r="R107" s="331"/>
      <c r="S107" s="331"/>
      <c r="T107" s="331"/>
      <c r="U107" s="331"/>
      <c r="V107" s="331"/>
      <c r="W107" s="331"/>
      <c r="X107" s="332"/>
      <c r="Y107" s="331"/>
      <c r="Z107" s="329"/>
      <c r="AA107" s="333"/>
      <c r="AB107" s="334"/>
      <c r="AC107" s="335"/>
      <c r="AD107" s="336"/>
      <c r="AE107" s="336"/>
      <c r="AF107" s="336"/>
      <c r="AG107" s="336"/>
      <c r="AH107" s="336"/>
      <c r="AI107" s="336"/>
      <c r="AJ107" s="336"/>
      <c r="AK107" s="336"/>
      <c r="AL107" s="336"/>
      <c r="AM107" s="336"/>
      <c r="AN107" s="336"/>
      <c r="AO107" s="336"/>
      <c r="AP107" s="337"/>
      <c r="AQ107" s="337"/>
      <c r="AR107" s="337"/>
      <c r="AS107" s="337"/>
      <c r="AT107" s="337"/>
      <c r="AU107" s="337"/>
      <c r="AV107" s="337"/>
      <c r="AW107" s="337"/>
      <c r="AX107" s="337"/>
      <c r="AY107" s="337"/>
      <c r="AZ107" s="337"/>
      <c r="BA107" s="337"/>
      <c r="BB107" s="338"/>
      <c r="BC107" s="339"/>
      <c r="BD107" s="340"/>
      <c r="BE107" s="341"/>
    </row>
    <row r="108" spans="1:57" x14ac:dyDescent="0.3">
      <c r="A108" s="241" t="str">
        <f t="shared" si="1"/>
        <v/>
      </c>
      <c r="B108" s="371"/>
      <c r="C108" s="362"/>
      <c r="D108" s="363"/>
      <c r="E108" s="366"/>
      <c r="F108" s="327"/>
      <c r="G108" s="329"/>
      <c r="H108" s="329"/>
      <c r="I108" s="329"/>
      <c r="J108" s="329"/>
      <c r="K108" s="329"/>
      <c r="L108" s="329"/>
      <c r="M108" s="329"/>
      <c r="N108" s="329"/>
      <c r="O108" s="330"/>
      <c r="P108" s="330"/>
      <c r="Q108" s="331"/>
      <c r="R108" s="331"/>
      <c r="S108" s="331"/>
      <c r="T108" s="331"/>
      <c r="U108" s="331"/>
      <c r="V108" s="331"/>
      <c r="W108" s="331"/>
      <c r="X108" s="332"/>
      <c r="Y108" s="331"/>
      <c r="Z108" s="329"/>
      <c r="AA108" s="333"/>
      <c r="AB108" s="334"/>
      <c r="AC108" s="335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  <c r="AN108" s="336"/>
      <c r="AO108" s="336"/>
      <c r="AP108" s="337"/>
      <c r="AQ108" s="337"/>
      <c r="AR108" s="337"/>
      <c r="AS108" s="337"/>
      <c r="AT108" s="337"/>
      <c r="AU108" s="337"/>
      <c r="AV108" s="337"/>
      <c r="AW108" s="337"/>
      <c r="AX108" s="337"/>
      <c r="AY108" s="337"/>
      <c r="AZ108" s="337"/>
      <c r="BA108" s="337"/>
      <c r="BB108" s="338"/>
      <c r="BC108" s="339"/>
      <c r="BD108" s="340"/>
      <c r="BE108" s="341"/>
    </row>
    <row r="109" spans="1:57" x14ac:dyDescent="0.3">
      <c r="A109" s="241" t="str">
        <f t="shared" si="1"/>
        <v/>
      </c>
      <c r="B109" s="371"/>
      <c r="C109" s="362"/>
      <c r="D109" s="363"/>
      <c r="E109" s="366"/>
      <c r="F109" s="327"/>
      <c r="G109" s="329"/>
      <c r="H109" s="329"/>
      <c r="I109" s="329"/>
      <c r="J109" s="329"/>
      <c r="K109" s="329"/>
      <c r="L109" s="329"/>
      <c r="M109" s="329"/>
      <c r="N109" s="329"/>
      <c r="O109" s="330"/>
      <c r="P109" s="330"/>
      <c r="Q109" s="331"/>
      <c r="R109" s="331"/>
      <c r="S109" s="331"/>
      <c r="T109" s="331"/>
      <c r="U109" s="331"/>
      <c r="V109" s="331"/>
      <c r="W109" s="331"/>
      <c r="X109" s="332"/>
      <c r="Y109" s="331"/>
      <c r="Z109" s="329"/>
      <c r="AA109" s="333"/>
      <c r="AB109" s="334"/>
      <c r="AC109" s="335"/>
      <c r="AD109" s="336"/>
      <c r="AE109" s="336"/>
      <c r="AF109" s="336"/>
      <c r="AG109" s="336"/>
      <c r="AH109" s="336"/>
      <c r="AI109" s="336"/>
      <c r="AJ109" s="336"/>
      <c r="AK109" s="336"/>
      <c r="AL109" s="336"/>
      <c r="AM109" s="336"/>
      <c r="AN109" s="336"/>
      <c r="AO109" s="336"/>
      <c r="AP109" s="337"/>
      <c r="AQ109" s="337"/>
      <c r="AR109" s="337"/>
      <c r="AS109" s="337"/>
      <c r="AT109" s="337"/>
      <c r="AU109" s="337"/>
      <c r="AV109" s="337"/>
      <c r="AW109" s="337"/>
      <c r="AX109" s="337"/>
      <c r="AY109" s="337"/>
      <c r="AZ109" s="337"/>
      <c r="BA109" s="337"/>
      <c r="BB109" s="338"/>
      <c r="BC109" s="339"/>
      <c r="BD109" s="340"/>
      <c r="BE109" s="341"/>
    </row>
    <row r="110" spans="1:57" x14ac:dyDescent="0.3">
      <c r="A110" s="241" t="str">
        <f t="shared" si="1"/>
        <v/>
      </c>
      <c r="B110" s="364"/>
      <c r="C110" s="362"/>
      <c r="D110" s="363"/>
      <c r="E110" s="366"/>
      <c r="F110" s="347"/>
      <c r="G110" s="329"/>
      <c r="H110" s="329"/>
      <c r="I110" s="329"/>
      <c r="J110" s="329"/>
      <c r="K110" s="329"/>
      <c r="L110" s="329"/>
      <c r="M110" s="329"/>
      <c r="N110" s="329"/>
      <c r="O110" s="330"/>
      <c r="P110" s="330"/>
      <c r="Q110" s="331"/>
      <c r="R110" s="331"/>
      <c r="S110" s="331"/>
      <c r="T110" s="331"/>
      <c r="U110" s="331"/>
      <c r="V110" s="331"/>
      <c r="W110" s="331"/>
      <c r="X110" s="332"/>
      <c r="Y110" s="331"/>
      <c r="Z110" s="329"/>
      <c r="AA110" s="333"/>
      <c r="AB110" s="334"/>
      <c r="AC110" s="335"/>
      <c r="AD110" s="336"/>
      <c r="AE110" s="336"/>
      <c r="AF110" s="336"/>
      <c r="AG110" s="336"/>
      <c r="AH110" s="336"/>
      <c r="AI110" s="336"/>
      <c r="AJ110" s="336"/>
      <c r="AK110" s="336"/>
      <c r="AL110" s="336"/>
      <c r="AM110" s="336"/>
      <c r="AN110" s="336"/>
      <c r="AO110" s="336"/>
      <c r="AP110" s="337"/>
      <c r="AQ110" s="337"/>
      <c r="AR110" s="337"/>
      <c r="AS110" s="337"/>
      <c r="AT110" s="337"/>
      <c r="AU110" s="337"/>
      <c r="AV110" s="337"/>
      <c r="AW110" s="337"/>
      <c r="AX110" s="337"/>
      <c r="AY110" s="337"/>
      <c r="AZ110" s="337"/>
      <c r="BA110" s="337"/>
      <c r="BB110" s="338"/>
      <c r="BC110" s="339"/>
      <c r="BD110" s="340"/>
      <c r="BE110" s="341"/>
    </row>
    <row r="111" spans="1:57" x14ac:dyDescent="0.3">
      <c r="A111" s="241" t="str">
        <f t="shared" si="1"/>
        <v/>
      </c>
      <c r="B111" s="364"/>
      <c r="C111" s="362"/>
      <c r="D111" s="363"/>
      <c r="E111" s="366"/>
      <c r="F111" s="327"/>
      <c r="G111" s="329"/>
      <c r="H111" s="329"/>
      <c r="I111" s="329"/>
      <c r="J111" s="329"/>
      <c r="K111" s="329"/>
      <c r="L111" s="329"/>
      <c r="M111" s="329"/>
      <c r="N111" s="329"/>
      <c r="O111" s="330"/>
      <c r="P111" s="330"/>
      <c r="Q111" s="331"/>
      <c r="R111" s="331"/>
      <c r="S111" s="331"/>
      <c r="T111" s="331"/>
      <c r="U111" s="331"/>
      <c r="V111" s="331"/>
      <c r="W111" s="331"/>
      <c r="X111" s="332"/>
      <c r="Y111" s="331"/>
      <c r="Z111" s="329"/>
      <c r="AA111" s="333"/>
      <c r="AB111" s="334"/>
      <c r="AC111" s="335"/>
      <c r="AD111" s="336"/>
      <c r="AE111" s="336"/>
      <c r="AF111" s="336"/>
      <c r="AG111" s="336"/>
      <c r="AH111" s="336"/>
      <c r="AI111" s="336"/>
      <c r="AJ111" s="336"/>
      <c r="AK111" s="336"/>
      <c r="AL111" s="336"/>
      <c r="AM111" s="336"/>
      <c r="AN111" s="336"/>
      <c r="AO111" s="336"/>
      <c r="AP111" s="337"/>
      <c r="AQ111" s="337"/>
      <c r="AR111" s="337"/>
      <c r="AS111" s="337"/>
      <c r="AT111" s="337"/>
      <c r="AU111" s="337"/>
      <c r="AV111" s="337"/>
      <c r="AW111" s="337"/>
      <c r="AX111" s="337"/>
      <c r="AY111" s="337"/>
      <c r="AZ111" s="337"/>
      <c r="BA111" s="337"/>
      <c r="BB111" s="338"/>
      <c r="BC111" s="339"/>
      <c r="BD111" s="340"/>
      <c r="BE111" s="341"/>
    </row>
    <row r="112" spans="1:57" x14ac:dyDescent="0.3">
      <c r="A112" s="241" t="str">
        <f t="shared" si="1"/>
        <v/>
      </c>
      <c r="B112" s="364"/>
      <c r="C112" s="362"/>
      <c r="D112" s="363"/>
      <c r="E112" s="366"/>
      <c r="F112" s="329"/>
      <c r="G112" s="329"/>
      <c r="H112" s="329"/>
      <c r="I112" s="329"/>
      <c r="J112" s="329"/>
      <c r="K112" s="329"/>
      <c r="L112" s="329"/>
      <c r="M112" s="329"/>
      <c r="N112" s="329"/>
      <c r="O112" s="330"/>
      <c r="P112" s="330"/>
      <c r="Q112" s="331"/>
      <c r="R112" s="331"/>
      <c r="S112" s="331"/>
      <c r="T112" s="331"/>
      <c r="U112" s="331"/>
      <c r="V112" s="331"/>
      <c r="W112" s="331"/>
      <c r="X112" s="332"/>
      <c r="Y112" s="331"/>
      <c r="Z112" s="329"/>
      <c r="AA112" s="333"/>
      <c r="AB112" s="334"/>
      <c r="AC112" s="335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6"/>
      <c r="AP112" s="337"/>
      <c r="AQ112" s="337"/>
      <c r="AR112" s="337"/>
      <c r="AS112" s="337"/>
      <c r="AT112" s="337"/>
      <c r="AU112" s="337"/>
      <c r="AV112" s="337"/>
      <c r="AW112" s="337"/>
      <c r="AX112" s="337"/>
      <c r="AY112" s="337"/>
      <c r="AZ112" s="337"/>
      <c r="BA112" s="337"/>
      <c r="BB112" s="338"/>
      <c r="BC112" s="339"/>
      <c r="BD112" s="340"/>
      <c r="BE112" s="341"/>
    </row>
    <row r="113" spans="1:57" x14ac:dyDescent="0.3">
      <c r="A113" s="241" t="str">
        <f t="shared" si="1"/>
        <v/>
      </c>
      <c r="B113" s="371"/>
      <c r="C113" s="362"/>
      <c r="D113" s="363"/>
      <c r="E113" s="366"/>
      <c r="F113" s="327"/>
      <c r="G113" s="329"/>
      <c r="H113" s="329"/>
      <c r="I113" s="329"/>
      <c r="J113" s="329"/>
      <c r="K113" s="329"/>
      <c r="L113" s="329"/>
      <c r="M113" s="329"/>
      <c r="N113" s="329"/>
      <c r="O113" s="330"/>
      <c r="P113" s="330"/>
      <c r="Q113" s="331"/>
      <c r="R113" s="331"/>
      <c r="S113" s="331"/>
      <c r="T113" s="331"/>
      <c r="U113" s="331"/>
      <c r="V113" s="331"/>
      <c r="W113" s="331"/>
      <c r="X113" s="332"/>
      <c r="Y113" s="331"/>
      <c r="Z113" s="329"/>
      <c r="AA113" s="333"/>
      <c r="AB113" s="334"/>
      <c r="AC113" s="335"/>
      <c r="AD113" s="336"/>
      <c r="AE113" s="336"/>
      <c r="AF113" s="336"/>
      <c r="AG113" s="336"/>
      <c r="AH113" s="336"/>
      <c r="AI113" s="336"/>
      <c r="AJ113" s="336"/>
      <c r="AK113" s="336"/>
      <c r="AL113" s="336"/>
      <c r="AM113" s="336"/>
      <c r="AN113" s="336"/>
      <c r="AO113" s="336"/>
      <c r="AP113" s="337"/>
      <c r="AQ113" s="337"/>
      <c r="AR113" s="337"/>
      <c r="AS113" s="337"/>
      <c r="AT113" s="337"/>
      <c r="AU113" s="337"/>
      <c r="AV113" s="337"/>
      <c r="AW113" s="337"/>
      <c r="AX113" s="337"/>
      <c r="AY113" s="337"/>
      <c r="AZ113" s="337"/>
      <c r="BA113" s="337"/>
      <c r="BB113" s="338"/>
      <c r="BC113" s="339"/>
      <c r="BD113" s="340"/>
      <c r="BE113" s="341"/>
    </row>
    <row r="114" spans="1:57" x14ac:dyDescent="0.3">
      <c r="A114" s="241" t="str">
        <f t="shared" si="1"/>
        <v/>
      </c>
      <c r="B114" s="371"/>
      <c r="C114" s="362"/>
      <c r="D114" s="363"/>
      <c r="E114" s="366"/>
      <c r="F114" s="327"/>
      <c r="G114" s="329"/>
      <c r="H114" s="329"/>
      <c r="I114" s="329"/>
      <c r="J114" s="329"/>
      <c r="K114" s="329"/>
      <c r="L114" s="329"/>
      <c r="M114" s="329"/>
      <c r="N114" s="329"/>
      <c r="O114" s="330"/>
      <c r="P114" s="330"/>
      <c r="Q114" s="331"/>
      <c r="R114" s="331"/>
      <c r="S114" s="331"/>
      <c r="T114" s="331"/>
      <c r="U114" s="331"/>
      <c r="V114" s="331"/>
      <c r="W114" s="331"/>
      <c r="X114" s="332"/>
      <c r="Y114" s="331"/>
      <c r="Z114" s="329"/>
      <c r="AA114" s="333"/>
      <c r="AB114" s="334"/>
      <c r="AC114" s="335"/>
      <c r="AD114" s="336"/>
      <c r="AE114" s="336"/>
      <c r="AF114" s="336"/>
      <c r="AG114" s="336"/>
      <c r="AH114" s="336"/>
      <c r="AI114" s="336"/>
      <c r="AJ114" s="336"/>
      <c r="AK114" s="336"/>
      <c r="AL114" s="336"/>
      <c r="AM114" s="336"/>
      <c r="AN114" s="336"/>
      <c r="AO114" s="336"/>
      <c r="AP114" s="337"/>
      <c r="AQ114" s="337"/>
      <c r="AR114" s="337"/>
      <c r="AS114" s="337"/>
      <c r="AT114" s="337"/>
      <c r="AU114" s="337"/>
      <c r="AV114" s="337"/>
      <c r="AW114" s="337"/>
      <c r="AX114" s="337"/>
      <c r="AY114" s="337"/>
      <c r="AZ114" s="337"/>
      <c r="BA114" s="337"/>
      <c r="BB114" s="338"/>
      <c r="BC114" s="339"/>
      <c r="BD114" s="340"/>
      <c r="BE114" s="341"/>
    </row>
    <row r="115" spans="1:57" x14ac:dyDescent="0.3">
      <c r="A115" s="241" t="str">
        <f t="shared" si="1"/>
        <v/>
      </c>
      <c r="B115" s="364"/>
      <c r="C115" s="362"/>
      <c r="D115" s="363"/>
      <c r="E115" s="366"/>
      <c r="F115" s="327"/>
      <c r="G115" s="329"/>
      <c r="H115" s="329"/>
      <c r="I115" s="329"/>
      <c r="J115" s="329"/>
      <c r="K115" s="329"/>
      <c r="L115" s="329"/>
      <c r="M115" s="329"/>
      <c r="N115" s="329"/>
      <c r="O115" s="330"/>
      <c r="P115" s="330"/>
      <c r="Q115" s="331"/>
      <c r="R115" s="331"/>
      <c r="S115" s="331"/>
      <c r="T115" s="331"/>
      <c r="U115" s="331"/>
      <c r="V115" s="331"/>
      <c r="W115" s="331"/>
      <c r="X115" s="332"/>
      <c r="Y115" s="331"/>
      <c r="Z115" s="329"/>
      <c r="AA115" s="333"/>
      <c r="AB115" s="334"/>
      <c r="AC115" s="335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6"/>
      <c r="AN115" s="336"/>
      <c r="AO115" s="336"/>
      <c r="AP115" s="337"/>
      <c r="AQ115" s="337"/>
      <c r="AR115" s="337"/>
      <c r="AS115" s="337"/>
      <c r="AT115" s="337"/>
      <c r="AU115" s="337"/>
      <c r="AV115" s="337"/>
      <c r="AW115" s="337"/>
      <c r="AX115" s="337"/>
      <c r="AY115" s="337"/>
      <c r="AZ115" s="337"/>
      <c r="BA115" s="337"/>
      <c r="BB115" s="338"/>
      <c r="BC115" s="339"/>
      <c r="BD115" s="340"/>
      <c r="BE115" s="341"/>
    </row>
    <row r="116" spans="1:57" x14ac:dyDescent="0.3">
      <c r="A116" s="241" t="str">
        <f t="shared" si="1"/>
        <v/>
      </c>
      <c r="B116" s="371"/>
      <c r="C116" s="362"/>
      <c r="D116" s="363"/>
      <c r="E116" s="366"/>
      <c r="F116" s="329"/>
      <c r="G116" s="329"/>
      <c r="H116" s="329"/>
      <c r="I116" s="329"/>
      <c r="J116" s="329"/>
      <c r="K116" s="329"/>
      <c r="L116" s="329"/>
      <c r="M116" s="329"/>
      <c r="N116" s="329"/>
      <c r="O116" s="330"/>
      <c r="P116" s="330"/>
      <c r="Q116" s="331"/>
      <c r="R116" s="331"/>
      <c r="S116" s="331"/>
      <c r="T116" s="331"/>
      <c r="U116" s="331"/>
      <c r="V116" s="331"/>
      <c r="W116" s="331"/>
      <c r="X116" s="332"/>
      <c r="Y116" s="331"/>
      <c r="Z116" s="329"/>
      <c r="AA116" s="333"/>
      <c r="AB116" s="334"/>
      <c r="AC116" s="335"/>
      <c r="AD116" s="336"/>
      <c r="AE116" s="336"/>
      <c r="AF116" s="336"/>
      <c r="AG116" s="336"/>
      <c r="AH116" s="336"/>
      <c r="AI116" s="336"/>
      <c r="AJ116" s="336"/>
      <c r="AK116" s="336"/>
      <c r="AL116" s="336"/>
      <c r="AM116" s="336"/>
      <c r="AN116" s="336"/>
      <c r="AO116" s="336"/>
      <c r="AP116" s="337"/>
      <c r="AQ116" s="337"/>
      <c r="AR116" s="337"/>
      <c r="AS116" s="337"/>
      <c r="AT116" s="337"/>
      <c r="AU116" s="337"/>
      <c r="AV116" s="337"/>
      <c r="AW116" s="337"/>
      <c r="AX116" s="337"/>
      <c r="AY116" s="337"/>
      <c r="AZ116" s="337"/>
      <c r="BA116" s="337"/>
      <c r="BB116" s="338"/>
      <c r="BC116" s="339"/>
      <c r="BD116" s="340"/>
      <c r="BE116" s="341"/>
    </row>
    <row r="117" spans="1:57" ht="14.25" customHeight="1" x14ac:dyDescent="0.3">
      <c r="A117" s="241" t="str">
        <f t="shared" si="1"/>
        <v/>
      </c>
      <c r="B117" s="371"/>
      <c r="C117" s="362"/>
      <c r="D117" s="363"/>
      <c r="E117" s="366"/>
      <c r="F117" s="329"/>
      <c r="G117" s="329"/>
      <c r="H117" s="329"/>
      <c r="I117" s="329"/>
      <c r="J117" s="329"/>
      <c r="K117" s="329"/>
      <c r="L117" s="329"/>
      <c r="M117" s="329"/>
      <c r="N117" s="329"/>
      <c r="O117" s="330"/>
      <c r="P117" s="330"/>
      <c r="Q117" s="331"/>
      <c r="R117" s="331"/>
      <c r="S117" s="331"/>
      <c r="T117" s="331"/>
      <c r="U117" s="331"/>
      <c r="V117" s="331"/>
      <c r="W117" s="331"/>
      <c r="X117" s="332"/>
      <c r="Y117" s="331"/>
      <c r="Z117" s="329"/>
      <c r="AA117" s="333"/>
      <c r="AB117" s="334"/>
      <c r="AC117" s="335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6"/>
      <c r="AP117" s="337"/>
      <c r="AQ117" s="337"/>
      <c r="AR117" s="337"/>
      <c r="AS117" s="337"/>
      <c r="AT117" s="337"/>
      <c r="AU117" s="337"/>
      <c r="AV117" s="337"/>
      <c r="AW117" s="337"/>
      <c r="AX117" s="337"/>
      <c r="AY117" s="337"/>
      <c r="AZ117" s="337"/>
      <c r="BA117" s="337"/>
      <c r="BB117" s="338"/>
      <c r="BC117" s="339"/>
      <c r="BD117" s="340"/>
      <c r="BE117" s="341"/>
    </row>
    <row r="118" spans="1:57" x14ac:dyDescent="0.3">
      <c r="A118" s="241" t="str">
        <f t="shared" si="1"/>
        <v/>
      </c>
      <c r="B118" s="371"/>
      <c r="C118" s="362"/>
      <c r="D118" s="363"/>
      <c r="E118" s="366"/>
      <c r="F118" s="329"/>
      <c r="G118" s="329"/>
      <c r="H118" s="329"/>
      <c r="I118" s="329"/>
      <c r="J118" s="329"/>
      <c r="K118" s="329"/>
      <c r="L118" s="329"/>
      <c r="M118" s="329"/>
      <c r="N118" s="329"/>
      <c r="O118" s="330"/>
      <c r="P118" s="330"/>
      <c r="Q118" s="331"/>
      <c r="R118" s="331"/>
      <c r="S118" s="331"/>
      <c r="T118" s="331"/>
      <c r="U118" s="331"/>
      <c r="V118" s="331"/>
      <c r="W118" s="331"/>
      <c r="X118" s="332"/>
      <c r="Y118" s="331"/>
      <c r="Z118" s="329"/>
      <c r="AA118" s="333"/>
      <c r="AB118" s="334"/>
      <c r="AC118" s="335"/>
      <c r="AD118" s="336"/>
      <c r="AE118" s="336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6"/>
      <c r="AP118" s="337"/>
      <c r="AQ118" s="337"/>
      <c r="AR118" s="337"/>
      <c r="AS118" s="337"/>
      <c r="AT118" s="337"/>
      <c r="AU118" s="337"/>
      <c r="AV118" s="337"/>
      <c r="AW118" s="337"/>
      <c r="AX118" s="337"/>
      <c r="AY118" s="337"/>
      <c r="AZ118" s="337"/>
      <c r="BA118" s="337"/>
      <c r="BB118" s="338"/>
      <c r="BC118" s="339"/>
      <c r="BD118" s="340"/>
      <c r="BE118" s="341"/>
    </row>
    <row r="119" spans="1:57" x14ac:dyDescent="0.3">
      <c r="A119" s="241" t="str">
        <f t="shared" si="1"/>
        <v/>
      </c>
      <c r="B119" s="371"/>
      <c r="C119" s="362"/>
      <c r="D119" s="363"/>
      <c r="E119" s="366"/>
      <c r="F119" s="347"/>
      <c r="G119" s="329"/>
      <c r="H119" s="329"/>
      <c r="I119" s="329"/>
      <c r="J119" s="329"/>
      <c r="K119" s="329"/>
      <c r="L119" s="329"/>
      <c r="M119" s="329"/>
      <c r="N119" s="329"/>
      <c r="O119" s="330"/>
      <c r="P119" s="330"/>
      <c r="Q119" s="331"/>
      <c r="R119" s="331"/>
      <c r="S119" s="331"/>
      <c r="T119" s="331"/>
      <c r="U119" s="331"/>
      <c r="V119" s="331"/>
      <c r="W119" s="331"/>
      <c r="X119" s="332"/>
      <c r="Y119" s="331"/>
      <c r="Z119" s="329"/>
      <c r="AA119" s="333"/>
      <c r="AB119" s="334"/>
      <c r="AC119" s="335"/>
      <c r="AD119" s="336"/>
      <c r="AE119" s="336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7"/>
      <c r="AQ119" s="337"/>
      <c r="AR119" s="337"/>
      <c r="AS119" s="337"/>
      <c r="AT119" s="337"/>
      <c r="AU119" s="337"/>
      <c r="AV119" s="337"/>
      <c r="AW119" s="337"/>
      <c r="AX119" s="337"/>
      <c r="AY119" s="337"/>
      <c r="AZ119" s="337"/>
      <c r="BA119" s="337"/>
      <c r="BB119" s="338"/>
      <c r="BC119" s="339"/>
      <c r="BD119" s="340"/>
      <c r="BE119" s="341"/>
    </row>
    <row r="120" spans="1:57" x14ac:dyDescent="0.3">
      <c r="A120" s="241" t="str">
        <f t="shared" si="1"/>
        <v/>
      </c>
      <c r="B120" s="371"/>
      <c r="C120" s="362"/>
      <c r="D120" s="363"/>
      <c r="E120" s="366"/>
      <c r="F120" s="327"/>
      <c r="G120" s="329"/>
      <c r="H120" s="329"/>
      <c r="I120" s="329"/>
      <c r="J120" s="329"/>
      <c r="K120" s="329"/>
      <c r="L120" s="329"/>
      <c r="M120" s="329"/>
      <c r="N120" s="329"/>
      <c r="O120" s="330"/>
      <c r="P120" s="330"/>
      <c r="Q120" s="331"/>
      <c r="R120" s="331"/>
      <c r="S120" s="331"/>
      <c r="T120" s="331"/>
      <c r="U120" s="331"/>
      <c r="V120" s="331"/>
      <c r="W120" s="331"/>
      <c r="X120" s="332"/>
      <c r="Y120" s="331"/>
      <c r="Z120" s="329"/>
      <c r="AA120" s="333"/>
      <c r="AB120" s="334"/>
      <c r="AC120" s="335"/>
      <c r="AD120" s="336"/>
      <c r="AE120" s="336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7"/>
      <c r="AQ120" s="337"/>
      <c r="AR120" s="337"/>
      <c r="AS120" s="337"/>
      <c r="AT120" s="337"/>
      <c r="AU120" s="337"/>
      <c r="AV120" s="337"/>
      <c r="AW120" s="337"/>
      <c r="AX120" s="337"/>
      <c r="AY120" s="337"/>
      <c r="AZ120" s="337"/>
      <c r="BA120" s="337"/>
      <c r="BB120" s="338"/>
      <c r="BC120" s="339"/>
      <c r="BD120" s="340"/>
      <c r="BE120" s="341"/>
    </row>
    <row r="121" spans="1:57" x14ac:dyDescent="0.3">
      <c r="A121" s="241" t="str">
        <f t="shared" si="1"/>
        <v/>
      </c>
      <c r="B121" s="371"/>
      <c r="C121" s="362"/>
      <c r="D121" s="363"/>
      <c r="E121" s="366"/>
      <c r="F121" s="327"/>
      <c r="G121" s="329"/>
      <c r="H121" s="329"/>
      <c r="I121" s="329"/>
      <c r="J121" s="329"/>
      <c r="K121" s="329"/>
      <c r="L121" s="329"/>
      <c r="M121" s="329"/>
      <c r="N121" s="329"/>
      <c r="O121" s="330"/>
      <c r="P121" s="330"/>
      <c r="Q121" s="331"/>
      <c r="R121" s="331"/>
      <c r="S121" s="331"/>
      <c r="T121" s="331"/>
      <c r="U121" s="331"/>
      <c r="V121" s="331"/>
      <c r="W121" s="331"/>
      <c r="X121" s="332"/>
      <c r="Y121" s="331"/>
      <c r="Z121" s="329"/>
      <c r="AA121" s="333"/>
      <c r="AB121" s="334"/>
      <c r="AC121" s="335"/>
      <c r="AD121" s="336"/>
      <c r="AE121" s="336"/>
      <c r="AF121" s="336"/>
      <c r="AG121" s="336"/>
      <c r="AH121" s="336"/>
      <c r="AI121" s="336"/>
      <c r="AJ121" s="336"/>
      <c r="AK121" s="336"/>
      <c r="AL121" s="336"/>
      <c r="AM121" s="336"/>
      <c r="AN121" s="336"/>
      <c r="AO121" s="336"/>
      <c r="AP121" s="337"/>
      <c r="AQ121" s="337"/>
      <c r="AR121" s="337"/>
      <c r="AS121" s="337"/>
      <c r="AT121" s="337"/>
      <c r="AU121" s="337"/>
      <c r="AV121" s="337"/>
      <c r="AW121" s="337"/>
      <c r="AX121" s="337"/>
      <c r="AY121" s="337"/>
      <c r="AZ121" s="337"/>
      <c r="BA121" s="337"/>
      <c r="BB121" s="338"/>
      <c r="BC121" s="339"/>
      <c r="BD121" s="340"/>
      <c r="BE121" s="341"/>
    </row>
    <row r="122" spans="1:57" x14ac:dyDescent="0.3">
      <c r="A122" s="241" t="str">
        <f t="shared" si="1"/>
        <v/>
      </c>
      <c r="B122" s="371"/>
      <c r="C122" s="362"/>
      <c r="D122" s="363"/>
      <c r="E122" s="366"/>
      <c r="F122" s="327"/>
      <c r="G122" s="329"/>
      <c r="H122" s="329"/>
      <c r="I122" s="329"/>
      <c r="J122" s="329"/>
      <c r="K122" s="329"/>
      <c r="L122" s="329"/>
      <c r="M122" s="329"/>
      <c r="N122" s="329"/>
      <c r="O122" s="330"/>
      <c r="P122" s="330"/>
      <c r="Q122" s="331"/>
      <c r="R122" s="331"/>
      <c r="S122" s="331"/>
      <c r="T122" s="331"/>
      <c r="U122" s="331"/>
      <c r="V122" s="331"/>
      <c r="W122" s="331"/>
      <c r="X122" s="332"/>
      <c r="Y122" s="331"/>
      <c r="Z122" s="329"/>
      <c r="AA122" s="333"/>
      <c r="AB122" s="334"/>
      <c r="AC122" s="335"/>
      <c r="AD122" s="336"/>
      <c r="AE122" s="336"/>
      <c r="AF122" s="336"/>
      <c r="AG122" s="336"/>
      <c r="AH122" s="336"/>
      <c r="AI122" s="336"/>
      <c r="AJ122" s="336"/>
      <c r="AK122" s="336"/>
      <c r="AL122" s="336"/>
      <c r="AM122" s="336"/>
      <c r="AN122" s="336"/>
      <c r="AO122" s="336"/>
      <c r="AP122" s="337"/>
      <c r="AQ122" s="337"/>
      <c r="AR122" s="337"/>
      <c r="AS122" s="337"/>
      <c r="AT122" s="337"/>
      <c r="AU122" s="337"/>
      <c r="AV122" s="337"/>
      <c r="AW122" s="337"/>
      <c r="AX122" s="337"/>
      <c r="AY122" s="337"/>
      <c r="AZ122" s="337"/>
      <c r="BA122" s="337"/>
      <c r="BB122" s="338"/>
      <c r="BC122" s="339"/>
      <c r="BD122" s="340"/>
      <c r="BE122" s="341"/>
    </row>
    <row r="123" spans="1:57" x14ac:dyDescent="0.3">
      <c r="A123" s="241" t="str">
        <f t="shared" si="1"/>
        <v/>
      </c>
      <c r="B123" s="364"/>
      <c r="C123" s="362"/>
      <c r="D123" s="363"/>
      <c r="E123" s="366"/>
      <c r="F123" s="329"/>
      <c r="G123" s="329"/>
      <c r="H123" s="329"/>
      <c r="I123" s="329"/>
      <c r="J123" s="329"/>
      <c r="K123" s="329"/>
      <c r="L123" s="329"/>
      <c r="M123" s="329"/>
      <c r="N123" s="329"/>
      <c r="O123" s="330"/>
      <c r="P123" s="330"/>
      <c r="Q123" s="331"/>
      <c r="R123" s="331"/>
      <c r="S123" s="331"/>
      <c r="T123" s="331"/>
      <c r="U123" s="331"/>
      <c r="V123" s="331"/>
      <c r="W123" s="331"/>
      <c r="X123" s="332"/>
      <c r="Y123" s="331"/>
      <c r="Z123" s="329"/>
      <c r="AA123" s="333"/>
      <c r="AB123" s="334"/>
      <c r="AC123" s="335"/>
      <c r="AD123" s="336"/>
      <c r="AE123" s="336"/>
      <c r="AF123" s="336"/>
      <c r="AG123" s="336"/>
      <c r="AH123" s="336"/>
      <c r="AI123" s="336"/>
      <c r="AJ123" s="336"/>
      <c r="AK123" s="336"/>
      <c r="AL123" s="336"/>
      <c r="AM123" s="336"/>
      <c r="AN123" s="336"/>
      <c r="AO123" s="336"/>
      <c r="AP123" s="337"/>
      <c r="AQ123" s="337"/>
      <c r="AR123" s="337"/>
      <c r="AS123" s="337"/>
      <c r="AT123" s="337"/>
      <c r="AU123" s="337"/>
      <c r="AV123" s="337"/>
      <c r="AW123" s="337"/>
      <c r="AX123" s="337"/>
      <c r="AY123" s="337"/>
      <c r="AZ123" s="337"/>
      <c r="BA123" s="337"/>
      <c r="BB123" s="338"/>
      <c r="BC123" s="339"/>
      <c r="BD123" s="340"/>
      <c r="BE123" s="341"/>
    </row>
    <row r="124" spans="1:57" x14ac:dyDescent="0.3">
      <c r="A124" s="241" t="str">
        <f t="shared" si="1"/>
        <v/>
      </c>
      <c r="B124" s="364"/>
      <c r="C124" s="362"/>
      <c r="D124" s="363"/>
      <c r="E124" s="366"/>
      <c r="F124" s="327"/>
      <c r="G124" s="329"/>
      <c r="H124" s="329"/>
      <c r="I124" s="329"/>
      <c r="J124" s="329"/>
      <c r="K124" s="329"/>
      <c r="L124" s="329"/>
      <c r="M124" s="329"/>
      <c r="N124" s="329"/>
      <c r="O124" s="330"/>
      <c r="P124" s="330"/>
      <c r="Q124" s="331"/>
      <c r="R124" s="331"/>
      <c r="S124" s="331"/>
      <c r="T124" s="331"/>
      <c r="U124" s="331"/>
      <c r="V124" s="331"/>
      <c r="W124" s="331"/>
      <c r="X124" s="332"/>
      <c r="Y124" s="331"/>
      <c r="Z124" s="329"/>
      <c r="AA124" s="333"/>
      <c r="AB124" s="334"/>
      <c r="AC124" s="335"/>
      <c r="AD124" s="336"/>
      <c r="AE124" s="336"/>
      <c r="AF124" s="336"/>
      <c r="AG124" s="336"/>
      <c r="AH124" s="336"/>
      <c r="AI124" s="336"/>
      <c r="AJ124" s="336"/>
      <c r="AK124" s="336"/>
      <c r="AL124" s="336"/>
      <c r="AM124" s="336"/>
      <c r="AN124" s="336"/>
      <c r="AO124" s="336"/>
      <c r="AP124" s="337"/>
      <c r="AQ124" s="337"/>
      <c r="AR124" s="337"/>
      <c r="AS124" s="337"/>
      <c r="AT124" s="337"/>
      <c r="AU124" s="337"/>
      <c r="AV124" s="337"/>
      <c r="AW124" s="337"/>
      <c r="AX124" s="337"/>
      <c r="AY124" s="337"/>
      <c r="AZ124" s="337"/>
      <c r="BA124" s="337"/>
      <c r="BB124" s="338"/>
      <c r="BC124" s="339"/>
      <c r="BD124" s="340"/>
      <c r="BE124" s="341"/>
    </row>
    <row r="125" spans="1:57" x14ac:dyDescent="0.3">
      <c r="A125" s="241" t="str">
        <f t="shared" si="1"/>
        <v/>
      </c>
      <c r="B125" s="371"/>
      <c r="C125" s="362"/>
      <c r="D125" s="363"/>
      <c r="E125" s="366"/>
      <c r="F125" s="329"/>
      <c r="G125" s="329"/>
      <c r="H125" s="329"/>
      <c r="I125" s="329"/>
      <c r="J125" s="329"/>
      <c r="K125" s="329"/>
      <c r="L125" s="329"/>
      <c r="M125" s="329"/>
      <c r="N125" s="329"/>
      <c r="O125" s="330"/>
      <c r="P125" s="330"/>
      <c r="Q125" s="331"/>
      <c r="R125" s="331"/>
      <c r="S125" s="331"/>
      <c r="T125" s="331"/>
      <c r="U125" s="331"/>
      <c r="V125" s="331"/>
      <c r="W125" s="331"/>
      <c r="X125" s="332"/>
      <c r="Y125" s="331"/>
      <c r="Z125" s="329"/>
      <c r="AA125" s="333"/>
      <c r="AB125" s="334"/>
      <c r="AC125" s="335"/>
      <c r="AD125" s="336"/>
      <c r="AE125" s="336"/>
      <c r="AF125" s="336"/>
      <c r="AG125" s="336"/>
      <c r="AH125" s="336"/>
      <c r="AI125" s="336"/>
      <c r="AJ125" s="336"/>
      <c r="AK125" s="336"/>
      <c r="AL125" s="336"/>
      <c r="AM125" s="336"/>
      <c r="AN125" s="336"/>
      <c r="AO125" s="336"/>
      <c r="AP125" s="337"/>
      <c r="AQ125" s="337"/>
      <c r="AR125" s="337"/>
      <c r="AS125" s="337"/>
      <c r="AT125" s="337"/>
      <c r="AU125" s="337"/>
      <c r="AV125" s="337"/>
      <c r="AW125" s="337"/>
      <c r="AX125" s="337"/>
      <c r="AY125" s="337"/>
      <c r="AZ125" s="337"/>
      <c r="BA125" s="337"/>
      <c r="BB125" s="338"/>
      <c r="BC125" s="339"/>
      <c r="BD125" s="340"/>
      <c r="BE125" s="341"/>
    </row>
    <row r="126" spans="1:57" x14ac:dyDescent="0.3">
      <c r="A126" s="241" t="str">
        <f t="shared" si="1"/>
        <v/>
      </c>
      <c r="B126" s="371"/>
      <c r="C126" s="362"/>
      <c r="D126" s="363"/>
      <c r="E126" s="366"/>
      <c r="F126" s="327"/>
      <c r="G126" s="329"/>
      <c r="H126" s="329"/>
      <c r="I126" s="329"/>
      <c r="J126" s="329"/>
      <c r="K126" s="329"/>
      <c r="L126" s="329"/>
      <c r="M126" s="329"/>
      <c r="N126" s="329"/>
      <c r="O126" s="330"/>
      <c r="P126" s="330"/>
      <c r="Q126" s="331"/>
      <c r="R126" s="331"/>
      <c r="S126" s="331"/>
      <c r="T126" s="331"/>
      <c r="U126" s="331"/>
      <c r="V126" s="331"/>
      <c r="W126" s="331"/>
      <c r="X126" s="332"/>
      <c r="Y126" s="331"/>
      <c r="Z126" s="329"/>
      <c r="AA126" s="333"/>
      <c r="AB126" s="334"/>
      <c r="AC126" s="335"/>
      <c r="AD126" s="336"/>
      <c r="AE126" s="336"/>
      <c r="AF126" s="336"/>
      <c r="AG126" s="336"/>
      <c r="AH126" s="336"/>
      <c r="AI126" s="336"/>
      <c r="AJ126" s="336"/>
      <c r="AK126" s="336"/>
      <c r="AL126" s="336"/>
      <c r="AM126" s="336"/>
      <c r="AN126" s="336"/>
      <c r="AO126" s="336"/>
      <c r="AP126" s="337"/>
      <c r="AQ126" s="337"/>
      <c r="AR126" s="337"/>
      <c r="AS126" s="337"/>
      <c r="AT126" s="337"/>
      <c r="AU126" s="337"/>
      <c r="AV126" s="337"/>
      <c r="AW126" s="337"/>
      <c r="AX126" s="337"/>
      <c r="AY126" s="337"/>
      <c r="AZ126" s="337"/>
      <c r="BA126" s="337"/>
      <c r="BB126" s="338"/>
      <c r="BC126" s="339"/>
      <c r="BD126" s="340"/>
      <c r="BE126" s="341"/>
    </row>
    <row r="127" spans="1:57" x14ac:dyDescent="0.3">
      <c r="A127" s="241" t="str">
        <f t="shared" si="1"/>
        <v/>
      </c>
      <c r="B127" s="364"/>
      <c r="C127" s="362"/>
      <c r="D127" s="363"/>
      <c r="E127" s="365"/>
      <c r="F127" s="327"/>
      <c r="G127" s="329"/>
      <c r="H127" s="329"/>
      <c r="I127" s="329"/>
      <c r="J127" s="329"/>
      <c r="K127" s="329"/>
      <c r="L127" s="329"/>
      <c r="M127" s="329"/>
      <c r="N127" s="329"/>
      <c r="O127" s="330"/>
      <c r="P127" s="330"/>
      <c r="Q127" s="331"/>
      <c r="R127" s="331"/>
      <c r="S127" s="331"/>
      <c r="T127" s="331"/>
      <c r="U127" s="331"/>
      <c r="V127" s="331"/>
      <c r="W127" s="331"/>
      <c r="X127" s="332"/>
      <c r="Y127" s="331"/>
      <c r="Z127" s="329"/>
      <c r="AA127" s="333"/>
      <c r="AB127" s="334"/>
      <c r="AC127" s="335"/>
      <c r="AD127" s="336"/>
      <c r="AE127" s="336"/>
      <c r="AF127" s="336"/>
      <c r="AG127" s="336"/>
      <c r="AH127" s="336"/>
      <c r="AI127" s="336"/>
      <c r="AJ127" s="336"/>
      <c r="AK127" s="336"/>
      <c r="AL127" s="336"/>
      <c r="AM127" s="336"/>
      <c r="AN127" s="336"/>
      <c r="AO127" s="336"/>
      <c r="AP127" s="337"/>
      <c r="AQ127" s="337"/>
      <c r="AR127" s="337"/>
      <c r="AS127" s="337"/>
      <c r="AT127" s="337"/>
      <c r="AU127" s="337"/>
      <c r="AV127" s="337"/>
      <c r="AW127" s="337"/>
      <c r="AX127" s="337"/>
      <c r="AY127" s="337"/>
      <c r="AZ127" s="337"/>
      <c r="BA127" s="337"/>
      <c r="BB127" s="338"/>
      <c r="BC127" s="339"/>
      <c r="BD127" s="340"/>
      <c r="BE127" s="341"/>
    </row>
    <row r="128" spans="1:57" x14ac:dyDescent="0.3">
      <c r="A128" s="241" t="str">
        <f t="shared" si="1"/>
        <v/>
      </c>
      <c r="B128" s="364"/>
      <c r="C128" s="362"/>
      <c r="D128" s="363"/>
      <c r="E128" s="366"/>
      <c r="F128" s="329"/>
      <c r="G128" s="329"/>
      <c r="H128" s="329"/>
      <c r="I128" s="329"/>
      <c r="J128" s="329"/>
      <c r="K128" s="329"/>
      <c r="L128" s="329"/>
      <c r="M128" s="329"/>
      <c r="N128" s="329"/>
      <c r="O128" s="330"/>
      <c r="P128" s="330"/>
      <c r="Q128" s="331"/>
      <c r="R128" s="331"/>
      <c r="S128" s="331"/>
      <c r="T128" s="331"/>
      <c r="U128" s="331"/>
      <c r="V128" s="331"/>
      <c r="W128" s="331"/>
      <c r="X128" s="332"/>
      <c r="Y128" s="331"/>
      <c r="Z128" s="329"/>
      <c r="AA128" s="333"/>
      <c r="AB128" s="334"/>
      <c r="AC128" s="335"/>
      <c r="AD128" s="336"/>
      <c r="AE128" s="336"/>
      <c r="AF128" s="336"/>
      <c r="AG128" s="336"/>
      <c r="AH128" s="336"/>
      <c r="AI128" s="336"/>
      <c r="AJ128" s="336"/>
      <c r="AK128" s="336"/>
      <c r="AL128" s="336"/>
      <c r="AM128" s="336"/>
      <c r="AN128" s="336"/>
      <c r="AO128" s="336"/>
      <c r="AP128" s="337"/>
      <c r="AQ128" s="337"/>
      <c r="AR128" s="337"/>
      <c r="AS128" s="337"/>
      <c r="AT128" s="337"/>
      <c r="AU128" s="337"/>
      <c r="AV128" s="337"/>
      <c r="AW128" s="337"/>
      <c r="AX128" s="337"/>
      <c r="AY128" s="337"/>
      <c r="AZ128" s="337"/>
      <c r="BA128" s="337"/>
      <c r="BB128" s="338"/>
      <c r="BC128" s="339"/>
      <c r="BD128" s="340"/>
      <c r="BE128" s="341"/>
    </row>
    <row r="129" spans="1:57" x14ac:dyDescent="0.3">
      <c r="A129" s="241" t="str">
        <f t="shared" si="1"/>
        <v/>
      </c>
      <c r="B129" s="364"/>
      <c r="C129" s="362"/>
      <c r="D129" s="363"/>
      <c r="E129" s="366"/>
      <c r="F129" s="327"/>
      <c r="G129" s="329"/>
      <c r="H129" s="329"/>
      <c r="I129" s="329"/>
      <c r="J129" s="329"/>
      <c r="K129" s="329"/>
      <c r="L129" s="329"/>
      <c r="M129" s="329"/>
      <c r="N129" s="329"/>
      <c r="O129" s="330"/>
      <c r="P129" s="330"/>
      <c r="Q129" s="331"/>
      <c r="R129" s="331"/>
      <c r="S129" s="331"/>
      <c r="T129" s="331"/>
      <c r="U129" s="331"/>
      <c r="V129" s="331"/>
      <c r="W129" s="331"/>
      <c r="X129" s="332"/>
      <c r="Y129" s="331"/>
      <c r="Z129" s="329"/>
      <c r="AA129" s="333"/>
      <c r="AB129" s="334"/>
      <c r="AC129" s="335"/>
      <c r="AD129" s="336"/>
      <c r="AE129" s="336"/>
      <c r="AF129" s="336"/>
      <c r="AG129" s="336"/>
      <c r="AH129" s="336"/>
      <c r="AI129" s="336"/>
      <c r="AJ129" s="336"/>
      <c r="AK129" s="336"/>
      <c r="AL129" s="336"/>
      <c r="AM129" s="336"/>
      <c r="AN129" s="336"/>
      <c r="AO129" s="336"/>
      <c r="AP129" s="337"/>
      <c r="AQ129" s="337"/>
      <c r="AR129" s="337"/>
      <c r="AS129" s="337"/>
      <c r="AT129" s="337"/>
      <c r="AU129" s="337"/>
      <c r="AV129" s="337"/>
      <c r="AW129" s="337"/>
      <c r="AX129" s="337"/>
      <c r="AY129" s="337"/>
      <c r="AZ129" s="337"/>
      <c r="BA129" s="337"/>
      <c r="BB129" s="338"/>
      <c r="BC129" s="339"/>
      <c r="BD129" s="340"/>
      <c r="BE129" s="341"/>
    </row>
    <row r="130" spans="1:57" ht="13.5" customHeight="1" x14ac:dyDescent="0.3">
      <c r="A130" s="241" t="str">
        <f t="shared" si="1"/>
        <v/>
      </c>
      <c r="B130" s="364"/>
      <c r="C130" s="362"/>
      <c r="D130" s="363"/>
      <c r="E130" s="366"/>
      <c r="F130" s="347"/>
      <c r="G130" s="329"/>
      <c r="H130" s="329"/>
      <c r="I130" s="329"/>
      <c r="J130" s="329"/>
      <c r="K130" s="329"/>
      <c r="L130" s="329"/>
      <c r="M130" s="329"/>
      <c r="N130" s="329"/>
      <c r="O130" s="330"/>
      <c r="P130" s="330"/>
      <c r="Q130" s="331"/>
      <c r="R130" s="331"/>
      <c r="S130" s="331"/>
      <c r="T130" s="331"/>
      <c r="U130" s="331"/>
      <c r="V130" s="331"/>
      <c r="W130" s="331"/>
      <c r="X130" s="332"/>
      <c r="Y130" s="331"/>
      <c r="Z130" s="329"/>
      <c r="AA130" s="333"/>
      <c r="AB130" s="334"/>
      <c r="AC130" s="335"/>
      <c r="AD130" s="336"/>
      <c r="AE130" s="336"/>
      <c r="AF130" s="336"/>
      <c r="AG130" s="336"/>
      <c r="AH130" s="336"/>
      <c r="AI130" s="336"/>
      <c r="AJ130" s="336"/>
      <c r="AK130" s="336"/>
      <c r="AL130" s="336"/>
      <c r="AM130" s="336"/>
      <c r="AN130" s="336"/>
      <c r="AO130" s="336"/>
      <c r="AP130" s="337"/>
      <c r="AQ130" s="337"/>
      <c r="AR130" s="337"/>
      <c r="AS130" s="337"/>
      <c r="AT130" s="337"/>
      <c r="AU130" s="337"/>
      <c r="AV130" s="337"/>
      <c r="AW130" s="337"/>
      <c r="AX130" s="337"/>
      <c r="AY130" s="337"/>
      <c r="AZ130" s="337"/>
      <c r="BA130" s="337"/>
      <c r="BB130" s="338"/>
      <c r="BC130" s="339"/>
      <c r="BD130" s="340"/>
      <c r="BE130" s="341"/>
    </row>
    <row r="131" spans="1:57" ht="13.5" customHeight="1" x14ac:dyDescent="0.3">
      <c r="A131" s="241" t="str">
        <f t="shared" si="1"/>
        <v/>
      </c>
      <c r="B131" s="371"/>
      <c r="C131" s="362"/>
      <c r="D131" s="363"/>
      <c r="E131" s="366"/>
      <c r="F131" s="327"/>
      <c r="G131" s="329"/>
      <c r="H131" s="329"/>
      <c r="I131" s="329"/>
      <c r="J131" s="329"/>
      <c r="K131" s="329"/>
      <c r="L131" s="329"/>
      <c r="M131" s="329"/>
      <c r="N131" s="329"/>
      <c r="O131" s="330"/>
      <c r="P131" s="330"/>
      <c r="Q131" s="331"/>
      <c r="R131" s="331"/>
      <c r="S131" s="331"/>
      <c r="T131" s="331"/>
      <c r="U131" s="331"/>
      <c r="V131" s="331"/>
      <c r="W131" s="331"/>
      <c r="X131" s="332"/>
      <c r="Y131" s="331"/>
      <c r="Z131" s="329"/>
      <c r="AA131" s="333"/>
      <c r="AB131" s="334"/>
      <c r="AC131" s="335"/>
      <c r="AD131" s="336"/>
      <c r="AE131" s="336"/>
      <c r="AF131" s="336"/>
      <c r="AG131" s="336"/>
      <c r="AH131" s="336"/>
      <c r="AI131" s="336"/>
      <c r="AJ131" s="336"/>
      <c r="AK131" s="336"/>
      <c r="AL131" s="336"/>
      <c r="AM131" s="336"/>
      <c r="AN131" s="336"/>
      <c r="AO131" s="336"/>
      <c r="AP131" s="337"/>
      <c r="AQ131" s="337"/>
      <c r="AR131" s="337"/>
      <c r="AS131" s="337"/>
      <c r="AT131" s="337"/>
      <c r="AU131" s="337"/>
      <c r="AV131" s="337"/>
      <c r="AW131" s="337"/>
      <c r="AX131" s="337"/>
      <c r="AY131" s="337"/>
      <c r="AZ131" s="337"/>
      <c r="BA131" s="337"/>
      <c r="BB131" s="338"/>
      <c r="BC131" s="339"/>
      <c r="BD131" s="340"/>
      <c r="BE131" s="341"/>
    </row>
    <row r="132" spans="1:57" x14ac:dyDescent="0.3">
      <c r="A132" s="241" t="str">
        <f t="shared" ref="A132:A193" si="2">CONCATENATE(B132,C132)</f>
        <v/>
      </c>
      <c r="B132" s="371"/>
      <c r="C132" s="362"/>
      <c r="D132" s="363"/>
      <c r="E132" s="366"/>
      <c r="F132" s="327"/>
      <c r="G132" s="329"/>
      <c r="H132" s="329"/>
      <c r="I132" s="329"/>
      <c r="J132" s="329"/>
      <c r="K132" s="329"/>
      <c r="L132" s="329"/>
      <c r="M132" s="329"/>
      <c r="N132" s="329"/>
      <c r="O132" s="330"/>
      <c r="P132" s="330"/>
      <c r="Q132" s="331"/>
      <c r="R132" s="331"/>
      <c r="S132" s="331"/>
      <c r="T132" s="331"/>
      <c r="U132" s="331"/>
      <c r="V132" s="331"/>
      <c r="W132" s="331"/>
      <c r="X132" s="332"/>
      <c r="Y132" s="331"/>
      <c r="Z132" s="329"/>
      <c r="AA132" s="333"/>
      <c r="AB132" s="334"/>
      <c r="AC132" s="335"/>
      <c r="AD132" s="336"/>
      <c r="AE132" s="336"/>
      <c r="AF132" s="336"/>
      <c r="AG132" s="336"/>
      <c r="AH132" s="336"/>
      <c r="AI132" s="336"/>
      <c r="AJ132" s="336"/>
      <c r="AK132" s="336"/>
      <c r="AL132" s="336"/>
      <c r="AM132" s="336"/>
      <c r="AN132" s="336"/>
      <c r="AO132" s="336"/>
      <c r="AP132" s="337"/>
      <c r="AQ132" s="337"/>
      <c r="AR132" s="337"/>
      <c r="AS132" s="337"/>
      <c r="AT132" s="337"/>
      <c r="AU132" s="337"/>
      <c r="AV132" s="337"/>
      <c r="AW132" s="337"/>
      <c r="AX132" s="337"/>
      <c r="AY132" s="337"/>
      <c r="AZ132" s="337"/>
      <c r="BA132" s="337"/>
      <c r="BB132" s="338"/>
      <c r="BC132" s="339"/>
      <c r="BD132" s="340"/>
      <c r="BE132" s="341"/>
    </row>
    <row r="133" spans="1:57" x14ac:dyDescent="0.3">
      <c r="A133" s="241" t="str">
        <f t="shared" si="2"/>
        <v/>
      </c>
      <c r="B133" s="371"/>
      <c r="C133" s="362"/>
      <c r="D133" s="363"/>
      <c r="E133" s="366"/>
      <c r="F133" s="327"/>
      <c r="G133" s="329"/>
      <c r="H133" s="329"/>
      <c r="I133" s="329"/>
      <c r="J133" s="329"/>
      <c r="K133" s="329"/>
      <c r="L133" s="329"/>
      <c r="M133" s="329"/>
      <c r="N133" s="329"/>
      <c r="O133" s="330"/>
      <c r="P133" s="330"/>
      <c r="Q133" s="331"/>
      <c r="R133" s="331"/>
      <c r="S133" s="331"/>
      <c r="T133" s="331"/>
      <c r="U133" s="331"/>
      <c r="V133" s="331"/>
      <c r="W133" s="331"/>
      <c r="X133" s="332"/>
      <c r="Y133" s="331"/>
      <c r="Z133" s="329"/>
      <c r="AA133" s="333"/>
      <c r="AB133" s="334"/>
      <c r="AC133" s="335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7"/>
      <c r="AQ133" s="337"/>
      <c r="AR133" s="337"/>
      <c r="AS133" s="337"/>
      <c r="AT133" s="337"/>
      <c r="AU133" s="337"/>
      <c r="AV133" s="337"/>
      <c r="AW133" s="337"/>
      <c r="AX133" s="337"/>
      <c r="AY133" s="337"/>
      <c r="AZ133" s="337"/>
      <c r="BA133" s="337"/>
      <c r="BB133" s="338"/>
      <c r="BC133" s="339"/>
      <c r="BD133" s="340"/>
      <c r="BE133" s="341"/>
    </row>
    <row r="134" spans="1:57" x14ac:dyDescent="0.3">
      <c r="A134" s="241" t="str">
        <f t="shared" si="2"/>
        <v/>
      </c>
      <c r="B134" s="364"/>
      <c r="C134" s="362"/>
      <c r="D134" s="363"/>
      <c r="E134" s="366"/>
      <c r="F134" s="327"/>
      <c r="G134" s="329"/>
      <c r="H134" s="329"/>
      <c r="I134" s="329"/>
      <c r="J134" s="329"/>
      <c r="K134" s="329"/>
      <c r="L134" s="329"/>
      <c r="M134" s="329"/>
      <c r="N134" s="329"/>
      <c r="O134" s="330"/>
      <c r="P134" s="330"/>
      <c r="Q134" s="331"/>
      <c r="R134" s="331"/>
      <c r="S134" s="331"/>
      <c r="T134" s="331"/>
      <c r="U134" s="331"/>
      <c r="V134" s="331"/>
      <c r="W134" s="331"/>
      <c r="X134" s="332"/>
      <c r="Y134" s="331"/>
      <c r="Z134" s="329"/>
      <c r="AA134" s="333"/>
      <c r="AB134" s="334"/>
      <c r="AC134" s="335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6"/>
      <c r="AP134" s="337"/>
      <c r="AQ134" s="337"/>
      <c r="AR134" s="337"/>
      <c r="AS134" s="337"/>
      <c r="AT134" s="337"/>
      <c r="AU134" s="337"/>
      <c r="AV134" s="337"/>
      <c r="AW134" s="337"/>
      <c r="AX134" s="337"/>
      <c r="AY134" s="337"/>
      <c r="AZ134" s="337"/>
      <c r="BA134" s="337"/>
      <c r="BB134" s="338"/>
      <c r="BC134" s="339"/>
      <c r="BD134" s="340"/>
      <c r="BE134" s="341"/>
    </row>
    <row r="135" spans="1:57" ht="14.25" customHeight="1" x14ac:dyDescent="0.3">
      <c r="A135" s="241" t="str">
        <f t="shared" si="2"/>
        <v/>
      </c>
      <c r="B135" s="371"/>
      <c r="C135" s="362"/>
      <c r="D135" s="363"/>
      <c r="E135" s="366"/>
      <c r="F135" s="327"/>
      <c r="G135" s="329"/>
      <c r="H135" s="329"/>
      <c r="I135" s="329"/>
      <c r="J135" s="329"/>
      <c r="K135" s="329"/>
      <c r="L135" s="329"/>
      <c r="M135" s="329"/>
      <c r="N135" s="329"/>
      <c r="O135" s="330"/>
      <c r="P135" s="330"/>
      <c r="Q135" s="331"/>
      <c r="R135" s="331"/>
      <c r="S135" s="331"/>
      <c r="T135" s="331"/>
      <c r="U135" s="331"/>
      <c r="V135" s="331"/>
      <c r="W135" s="331"/>
      <c r="X135" s="332"/>
      <c r="Y135" s="331"/>
      <c r="Z135" s="329"/>
      <c r="AA135" s="333"/>
      <c r="AB135" s="334"/>
      <c r="AC135" s="335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6"/>
      <c r="AP135" s="337"/>
      <c r="AQ135" s="337"/>
      <c r="AR135" s="337"/>
      <c r="AS135" s="337"/>
      <c r="AT135" s="337"/>
      <c r="AU135" s="337"/>
      <c r="AV135" s="337"/>
      <c r="AW135" s="337"/>
      <c r="AX135" s="337"/>
      <c r="AY135" s="337"/>
      <c r="AZ135" s="337"/>
      <c r="BA135" s="337"/>
      <c r="BB135" s="338"/>
      <c r="BC135" s="339"/>
      <c r="BD135" s="340"/>
      <c r="BE135" s="341"/>
    </row>
    <row r="136" spans="1:57" x14ac:dyDescent="0.3">
      <c r="A136" s="241" t="str">
        <f t="shared" si="2"/>
        <v/>
      </c>
      <c r="B136" s="371"/>
      <c r="C136" s="362"/>
      <c r="D136" s="363"/>
      <c r="E136" s="366"/>
      <c r="F136" s="327"/>
      <c r="G136" s="329"/>
      <c r="H136" s="329"/>
      <c r="I136" s="329"/>
      <c r="J136" s="329"/>
      <c r="K136" s="329"/>
      <c r="L136" s="329"/>
      <c r="M136" s="329"/>
      <c r="N136" s="329"/>
      <c r="O136" s="330"/>
      <c r="P136" s="330"/>
      <c r="Q136" s="331"/>
      <c r="R136" s="331"/>
      <c r="S136" s="331"/>
      <c r="T136" s="331"/>
      <c r="U136" s="331"/>
      <c r="V136" s="331"/>
      <c r="W136" s="331"/>
      <c r="X136" s="332"/>
      <c r="Y136" s="331"/>
      <c r="Z136" s="329"/>
      <c r="AA136" s="333"/>
      <c r="AB136" s="334"/>
      <c r="AC136" s="335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6"/>
      <c r="AP136" s="337"/>
      <c r="AQ136" s="337"/>
      <c r="AR136" s="337"/>
      <c r="AS136" s="337"/>
      <c r="AT136" s="337"/>
      <c r="AU136" s="337"/>
      <c r="AV136" s="337"/>
      <c r="AW136" s="337"/>
      <c r="AX136" s="337"/>
      <c r="AY136" s="337"/>
      <c r="AZ136" s="337"/>
      <c r="BA136" s="337"/>
      <c r="BB136" s="338"/>
      <c r="BC136" s="339"/>
      <c r="BD136" s="340"/>
      <c r="BE136" s="341"/>
    </row>
    <row r="137" spans="1:57" x14ac:dyDescent="0.3">
      <c r="A137" s="241" t="str">
        <f t="shared" si="2"/>
        <v/>
      </c>
      <c r="B137" s="375"/>
      <c r="C137" s="362"/>
      <c r="D137" s="363"/>
      <c r="E137" s="366"/>
      <c r="F137" s="347"/>
      <c r="G137" s="329"/>
      <c r="H137" s="329"/>
      <c r="I137" s="329"/>
      <c r="J137" s="329"/>
      <c r="K137" s="329"/>
      <c r="L137" s="329"/>
      <c r="M137" s="329"/>
      <c r="N137" s="329"/>
      <c r="O137" s="330"/>
      <c r="P137" s="330"/>
      <c r="Q137" s="331"/>
      <c r="R137" s="331"/>
      <c r="S137" s="331"/>
      <c r="T137" s="331"/>
      <c r="U137" s="331"/>
      <c r="V137" s="331"/>
      <c r="W137" s="331"/>
      <c r="X137" s="332"/>
      <c r="Y137" s="331"/>
      <c r="Z137" s="329"/>
      <c r="AA137" s="333"/>
      <c r="AB137" s="334"/>
      <c r="AC137" s="335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6"/>
      <c r="AP137" s="337"/>
      <c r="AQ137" s="337"/>
      <c r="AR137" s="337"/>
      <c r="AS137" s="337"/>
      <c r="AT137" s="337"/>
      <c r="AU137" s="337"/>
      <c r="AV137" s="337"/>
      <c r="AW137" s="337"/>
      <c r="AX137" s="337"/>
      <c r="AY137" s="337"/>
      <c r="AZ137" s="337"/>
      <c r="BA137" s="337"/>
      <c r="BB137" s="338"/>
      <c r="BC137" s="339"/>
      <c r="BD137" s="340"/>
      <c r="BE137" s="341"/>
    </row>
    <row r="138" spans="1:57" x14ac:dyDescent="0.3">
      <c r="A138" s="241" t="str">
        <f t="shared" si="2"/>
        <v/>
      </c>
      <c r="B138" s="371"/>
      <c r="C138" s="362"/>
      <c r="D138" s="363"/>
      <c r="E138" s="366"/>
      <c r="F138" s="327"/>
      <c r="G138" s="329"/>
      <c r="H138" s="329"/>
      <c r="I138" s="329"/>
      <c r="J138" s="329"/>
      <c r="K138" s="329"/>
      <c r="L138" s="329"/>
      <c r="M138" s="329"/>
      <c r="N138" s="329"/>
      <c r="O138" s="330"/>
      <c r="P138" s="330"/>
      <c r="Q138" s="331"/>
      <c r="R138" s="331"/>
      <c r="S138" s="331"/>
      <c r="T138" s="331"/>
      <c r="U138" s="331"/>
      <c r="V138" s="331"/>
      <c r="W138" s="331"/>
      <c r="X138" s="332"/>
      <c r="Y138" s="331"/>
      <c r="Z138" s="329"/>
      <c r="AA138" s="333"/>
      <c r="AB138" s="334"/>
      <c r="AC138" s="335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6"/>
      <c r="AP138" s="337"/>
      <c r="AQ138" s="337"/>
      <c r="AR138" s="337"/>
      <c r="AS138" s="337"/>
      <c r="AT138" s="337"/>
      <c r="AU138" s="337"/>
      <c r="AV138" s="337"/>
      <c r="AW138" s="337"/>
      <c r="AX138" s="337"/>
      <c r="AY138" s="337"/>
      <c r="AZ138" s="337"/>
      <c r="BA138" s="337"/>
      <c r="BB138" s="338"/>
      <c r="BC138" s="339"/>
      <c r="BD138" s="340"/>
      <c r="BE138" s="341"/>
    </row>
    <row r="139" spans="1:57" x14ac:dyDescent="0.3">
      <c r="A139" s="241" t="str">
        <f t="shared" si="2"/>
        <v/>
      </c>
      <c r="B139" s="371"/>
      <c r="C139" s="362"/>
      <c r="D139" s="363"/>
      <c r="E139" s="366"/>
      <c r="F139" s="327"/>
      <c r="G139" s="329"/>
      <c r="H139" s="329"/>
      <c r="I139" s="329"/>
      <c r="J139" s="329"/>
      <c r="K139" s="329"/>
      <c r="L139" s="329"/>
      <c r="M139" s="329"/>
      <c r="N139" s="329"/>
      <c r="O139" s="330"/>
      <c r="P139" s="330"/>
      <c r="Q139" s="331"/>
      <c r="R139" s="331"/>
      <c r="S139" s="331"/>
      <c r="T139" s="331"/>
      <c r="U139" s="331"/>
      <c r="V139" s="331"/>
      <c r="W139" s="331"/>
      <c r="X139" s="332"/>
      <c r="Y139" s="331"/>
      <c r="Z139" s="329"/>
      <c r="AA139" s="333"/>
      <c r="AB139" s="334"/>
      <c r="AC139" s="335"/>
      <c r="AD139" s="336"/>
      <c r="AE139" s="336"/>
      <c r="AF139" s="336"/>
      <c r="AG139" s="336"/>
      <c r="AH139" s="336"/>
      <c r="AI139" s="336"/>
      <c r="AJ139" s="336"/>
      <c r="AK139" s="336"/>
      <c r="AL139" s="336"/>
      <c r="AM139" s="336"/>
      <c r="AN139" s="336"/>
      <c r="AO139" s="336"/>
      <c r="AP139" s="337"/>
      <c r="AQ139" s="337"/>
      <c r="AR139" s="337"/>
      <c r="AS139" s="337"/>
      <c r="AT139" s="337"/>
      <c r="AU139" s="337"/>
      <c r="AV139" s="337"/>
      <c r="AW139" s="337"/>
      <c r="AX139" s="337"/>
      <c r="AY139" s="337"/>
      <c r="AZ139" s="337"/>
      <c r="BA139" s="337"/>
      <c r="BB139" s="338"/>
      <c r="BC139" s="339"/>
      <c r="BD139" s="340"/>
      <c r="BE139" s="341"/>
    </row>
    <row r="140" spans="1:57" x14ac:dyDescent="0.3">
      <c r="A140" s="241" t="str">
        <f t="shared" si="2"/>
        <v/>
      </c>
      <c r="B140" s="364"/>
      <c r="C140" s="362"/>
      <c r="D140" s="363"/>
      <c r="E140" s="366"/>
      <c r="F140" s="329"/>
      <c r="G140" s="329"/>
      <c r="H140" s="329"/>
      <c r="I140" s="329"/>
      <c r="J140" s="329"/>
      <c r="K140" s="329"/>
      <c r="L140" s="329"/>
      <c r="M140" s="329"/>
      <c r="N140" s="329"/>
      <c r="O140" s="330"/>
      <c r="P140" s="330"/>
      <c r="Q140" s="331"/>
      <c r="R140" s="331"/>
      <c r="S140" s="331"/>
      <c r="T140" s="331"/>
      <c r="U140" s="331"/>
      <c r="V140" s="331"/>
      <c r="W140" s="331"/>
      <c r="X140" s="332"/>
      <c r="Y140" s="331"/>
      <c r="Z140" s="329"/>
      <c r="AA140" s="333"/>
      <c r="AB140" s="334"/>
      <c r="AC140" s="335"/>
      <c r="AD140" s="336"/>
      <c r="AE140" s="336"/>
      <c r="AF140" s="336"/>
      <c r="AG140" s="336"/>
      <c r="AH140" s="336"/>
      <c r="AI140" s="336"/>
      <c r="AJ140" s="336"/>
      <c r="AK140" s="336"/>
      <c r="AL140" s="336"/>
      <c r="AM140" s="336"/>
      <c r="AN140" s="336"/>
      <c r="AO140" s="336"/>
      <c r="AP140" s="337"/>
      <c r="AQ140" s="337"/>
      <c r="AR140" s="337"/>
      <c r="AS140" s="337"/>
      <c r="AT140" s="337"/>
      <c r="AU140" s="337"/>
      <c r="AV140" s="337"/>
      <c r="AW140" s="337"/>
      <c r="AX140" s="337"/>
      <c r="AY140" s="337"/>
      <c r="AZ140" s="337"/>
      <c r="BA140" s="337"/>
      <c r="BB140" s="338"/>
      <c r="BC140" s="339"/>
      <c r="BD140" s="340"/>
      <c r="BE140" s="341"/>
    </row>
    <row r="141" spans="1:57" x14ac:dyDescent="0.3">
      <c r="A141" s="241" t="str">
        <f t="shared" si="2"/>
        <v/>
      </c>
      <c r="B141" s="364"/>
      <c r="C141" s="362"/>
      <c r="D141" s="363"/>
      <c r="E141" s="366"/>
      <c r="F141" s="327"/>
      <c r="G141" s="329"/>
      <c r="H141" s="329"/>
      <c r="I141" s="329"/>
      <c r="J141" s="329"/>
      <c r="K141" s="329"/>
      <c r="L141" s="329"/>
      <c r="M141" s="329"/>
      <c r="N141" s="329"/>
      <c r="O141" s="330"/>
      <c r="P141" s="330"/>
      <c r="Q141" s="331"/>
      <c r="R141" s="331"/>
      <c r="S141" s="331"/>
      <c r="T141" s="331"/>
      <c r="U141" s="331"/>
      <c r="V141" s="331"/>
      <c r="W141" s="331"/>
      <c r="X141" s="332"/>
      <c r="Y141" s="331"/>
      <c r="Z141" s="329"/>
      <c r="AA141" s="333"/>
      <c r="AB141" s="334"/>
      <c r="AC141" s="335"/>
      <c r="AD141" s="336"/>
      <c r="AE141" s="336"/>
      <c r="AF141" s="336"/>
      <c r="AG141" s="336"/>
      <c r="AH141" s="336"/>
      <c r="AI141" s="336"/>
      <c r="AJ141" s="336"/>
      <c r="AK141" s="336"/>
      <c r="AL141" s="336"/>
      <c r="AM141" s="336"/>
      <c r="AN141" s="336"/>
      <c r="AO141" s="336"/>
      <c r="AP141" s="337"/>
      <c r="AQ141" s="337"/>
      <c r="AR141" s="337"/>
      <c r="AS141" s="337"/>
      <c r="AT141" s="337"/>
      <c r="AU141" s="337"/>
      <c r="AV141" s="337"/>
      <c r="AW141" s="337"/>
      <c r="AX141" s="337"/>
      <c r="AY141" s="337"/>
      <c r="AZ141" s="337"/>
      <c r="BA141" s="337"/>
      <c r="BB141" s="338"/>
      <c r="BC141" s="339"/>
      <c r="BD141" s="340"/>
      <c r="BE141" s="341"/>
    </row>
    <row r="142" spans="1:57" x14ac:dyDescent="0.3">
      <c r="A142" s="241" t="str">
        <f t="shared" si="2"/>
        <v/>
      </c>
      <c r="B142" s="371"/>
      <c r="C142" s="362"/>
      <c r="D142" s="363"/>
      <c r="E142" s="366"/>
      <c r="F142" s="347"/>
      <c r="G142" s="329"/>
      <c r="H142" s="329"/>
      <c r="I142" s="329"/>
      <c r="J142" s="329"/>
      <c r="K142" s="329"/>
      <c r="L142" s="329"/>
      <c r="M142" s="329"/>
      <c r="N142" s="329"/>
      <c r="O142" s="330"/>
      <c r="P142" s="330"/>
      <c r="Q142" s="331"/>
      <c r="R142" s="331"/>
      <c r="S142" s="331"/>
      <c r="T142" s="331"/>
      <c r="U142" s="331"/>
      <c r="V142" s="331"/>
      <c r="W142" s="331"/>
      <c r="X142" s="332"/>
      <c r="Y142" s="331"/>
      <c r="Z142" s="329"/>
      <c r="AA142" s="333"/>
      <c r="AB142" s="334"/>
      <c r="AC142" s="335"/>
      <c r="AD142" s="336"/>
      <c r="AE142" s="336"/>
      <c r="AF142" s="336"/>
      <c r="AG142" s="336"/>
      <c r="AH142" s="336"/>
      <c r="AI142" s="336"/>
      <c r="AJ142" s="336"/>
      <c r="AK142" s="336"/>
      <c r="AL142" s="336"/>
      <c r="AM142" s="336"/>
      <c r="AN142" s="336"/>
      <c r="AO142" s="336"/>
      <c r="AP142" s="337"/>
      <c r="AQ142" s="337"/>
      <c r="AR142" s="337"/>
      <c r="AS142" s="337"/>
      <c r="AT142" s="337"/>
      <c r="AU142" s="337"/>
      <c r="AV142" s="337"/>
      <c r="AW142" s="337"/>
      <c r="AX142" s="337"/>
      <c r="AY142" s="337"/>
      <c r="AZ142" s="337"/>
      <c r="BA142" s="337"/>
      <c r="BB142" s="338"/>
      <c r="BC142" s="339"/>
      <c r="BD142" s="340"/>
      <c r="BE142" s="341"/>
    </row>
    <row r="143" spans="1:57" x14ac:dyDescent="0.3">
      <c r="A143" s="241" t="str">
        <f t="shared" si="2"/>
        <v/>
      </c>
      <c r="B143" s="364"/>
      <c r="C143" s="362"/>
      <c r="D143" s="363"/>
      <c r="E143" s="366"/>
      <c r="F143" s="327"/>
      <c r="G143" s="329"/>
      <c r="H143" s="329"/>
      <c r="I143" s="329"/>
      <c r="J143" s="329"/>
      <c r="K143" s="329"/>
      <c r="L143" s="329"/>
      <c r="M143" s="329"/>
      <c r="N143" s="329"/>
      <c r="O143" s="330"/>
      <c r="P143" s="330"/>
      <c r="Q143" s="331"/>
      <c r="R143" s="331"/>
      <c r="S143" s="331"/>
      <c r="T143" s="331"/>
      <c r="U143" s="331"/>
      <c r="V143" s="331"/>
      <c r="W143" s="331"/>
      <c r="X143" s="332"/>
      <c r="Y143" s="331"/>
      <c r="Z143" s="329"/>
      <c r="AA143" s="333"/>
      <c r="AB143" s="334"/>
      <c r="AC143" s="335"/>
      <c r="AD143" s="336"/>
      <c r="AE143" s="336"/>
      <c r="AF143" s="336"/>
      <c r="AG143" s="336"/>
      <c r="AH143" s="336"/>
      <c r="AI143" s="336"/>
      <c r="AJ143" s="336"/>
      <c r="AK143" s="336"/>
      <c r="AL143" s="336"/>
      <c r="AM143" s="336"/>
      <c r="AN143" s="336"/>
      <c r="AO143" s="336"/>
      <c r="AP143" s="337"/>
      <c r="AQ143" s="337"/>
      <c r="AR143" s="337"/>
      <c r="AS143" s="337"/>
      <c r="AT143" s="337"/>
      <c r="AU143" s="337"/>
      <c r="AV143" s="337"/>
      <c r="AW143" s="337"/>
      <c r="AX143" s="337"/>
      <c r="AY143" s="337"/>
      <c r="AZ143" s="337"/>
      <c r="BA143" s="337"/>
      <c r="BB143" s="338"/>
      <c r="BC143" s="339"/>
      <c r="BD143" s="340"/>
      <c r="BE143" s="341"/>
    </row>
    <row r="144" spans="1:57" x14ac:dyDescent="0.3">
      <c r="A144" s="241" t="str">
        <f t="shared" si="2"/>
        <v/>
      </c>
      <c r="B144" s="371"/>
      <c r="C144" s="362"/>
      <c r="D144" s="363"/>
      <c r="E144" s="366"/>
      <c r="F144" s="327"/>
      <c r="G144" s="329"/>
      <c r="H144" s="329"/>
      <c r="I144" s="329"/>
      <c r="J144" s="329"/>
      <c r="K144" s="329"/>
      <c r="L144" s="329"/>
      <c r="M144" s="329"/>
      <c r="N144" s="329"/>
      <c r="O144" s="330"/>
      <c r="P144" s="330"/>
      <c r="Q144" s="331"/>
      <c r="R144" s="331"/>
      <c r="S144" s="331"/>
      <c r="T144" s="331"/>
      <c r="U144" s="331"/>
      <c r="V144" s="331"/>
      <c r="W144" s="331"/>
      <c r="X144" s="332"/>
      <c r="Y144" s="331"/>
      <c r="Z144" s="329"/>
      <c r="AA144" s="333"/>
      <c r="AB144" s="334"/>
      <c r="AC144" s="335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6"/>
      <c r="AP144" s="337"/>
      <c r="AQ144" s="337"/>
      <c r="AR144" s="337"/>
      <c r="AS144" s="337"/>
      <c r="AT144" s="337"/>
      <c r="AU144" s="337"/>
      <c r="AV144" s="337"/>
      <c r="AW144" s="337"/>
      <c r="AX144" s="337"/>
      <c r="AY144" s="337"/>
      <c r="AZ144" s="337"/>
      <c r="BA144" s="337"/>
      <c r="BB144" s="338"/>
      <c r="BC144" s="339"/>
      <c r="BD144" s="340"/>
      <c r="BE144" s="341"/>
    </row>
    <row r="145" spans="1:57" x14ac:dyDescent="0.3">
      <c r="A145" s="241" t="str">
        <f t="shared" si="2"/>
        <v/>
      </c>
      <c r="B145" s="371"/>
      <c r="C145" s="362"/>
      <c r="D145" s="363"/>
      <c r="E145" s="366"/>
      <c r="F145" s="327"/>
      <c r="G145" s="329"/>
      <c r="H145" s="329"/>
      <c r="I145" s="329"/>
      <c r="J145" s="329"/>
      <c r="K145" s="329"/>
      <c r="L145" s="329"/>
      <c r="M145" s="329"/>
      <c r="N145" s="329"/>
      <c r="O145" s="330"/>
      <c r="P145" s="330"/>
      <c r="Q145" s="331"/>
      <c r="R145" s="331"/>
      <c r="S145" s="331"/>
      <c r="T145" s="331"/>
      <c r="U145" s="331"/>
      <c r="V145" s="331"/>
      <c r="W145" s="331"/>
      <c r="X145" s="332"/>
      <c r="Y145" s="331"/>
      <c r="Z145" s="329"/>
      <c r="AA145" s="333"/>
      <c r="AB145" s="334"/>
      <c r="AC145" s="335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6"/>
      <c r="AP145" s="337"/>
      <c r="AQ145" s="337"/>
      <c r="AR145" s="337"/>
      <c r="AS145" s="337"/>
      <c r="AT145" s="337"/>
      <c r="AU145" s="337"/>
      <c r="AV145" s="337"/>
      <c r="AW145" s="337"/>
      <c r="AX145" s="337"/>
      <c r="AY145" s="337"/>
      <c r="AZ145" s="337"/>
      <c r="BA145" s="337"/>
      <c r="BB145" s="338"/>
      <c r="BC145" s="339"/>
      <c r="BD145" s="340"/>
      <c r="BE145" s="341"/>
    </row>
    <row r="146" spans="1:57" x14ac:dyDescent="0.3">
      <c r="A146" s="241" t="str">
        <f t="shared" si="2"/>
        <v/>
      </c>
      <c r="B146" s="364"/>
      <c r="C146" s="362"/>
      <c r="D146" s="363"/>
      <c r="E146" s="366"/>
      <c r="F146" s="327"/>
      <c r="G146" s="329"/>
      <c r="H146" s="329"/>
      <c r="I146" s="329"/>
      <c r="J146" s="329"/>
      <c r="K146" s="329"/>
      <c r="L146" s="329"/>
      <c r="M146" s="329"/>
      <c r="N146" s="329"/>
      <c r="O146" s="330"/>
      <c r="P146" s="330"/>
      <c r="Q146" s="331"/>
      <c r="R146" s="331"/>
      <c r="S146" s="331"/>
      <c r="T146" s="331"/>
      <c r="U146" s="331"/>
      <c r="V146" s="331"/>
      <c r="W146" s="331"/>
      <c r="X146" s="332"/>
      <c r="Y146" s="331"/>
      <c r="Z146" s="329"/>
      <c r="AA146" s="333"/>
      <c r="AB146" s="334"/>
      <c r="AC146" s="335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6"/>
      <c r="AP146" s="337"/>
      <c r="AQ146" s="337"/>
      <c r="AR146" s="337"/>
      <c r="AS146" s="337"/>
      <c r="AT146" s="337"/>
      <c r="AU146" s="337"/>
      <c r="AV146" s="337"/>
      <c r="AW146" s="337"/>
      <c r="AX146" s="337"/>
      <c r="AY146" s="337"/>
      <c r="AZ146" s="337"/>
      <c r="BA146" s="337"/>
      <c r="BB146" s="338"/>
      <c r="BC146" s="339"/>
      <c r="BD146" s="340"/>
      <c r="BE146" s="341"/>
    </row>
    <row r="147" spans="1:57" x14ac:dyDescent="0.3">
      <c r="A147" s="241" t="str">
        <f t="shared" si="2"/>
        <v/>
      </c>
      <c r="B147" s="371"/>
      <c r="C147" s="362"/>
      <c r="D147" s="363"/>
      <c r="E147" s="366"/>
      <c r="F147" s="327"/>
      <c r="G147" s="329"/>
      <c r="H147" s="329"/>
      <c r="I147" s="329"/>
      <c r="J147" s="329"/>
      <c r="K147" s="329"/>
      <c r="L147" s="329"/>
      <c r="M147" s="329"/>
      <c r="N147" s="329"/>
      <c r="O147" s="330"/>
      <c r="P147" s="330"/>
      <c r="Q147" s="331"/>
      <c r="R147" s="331"/>
      <c r="S147" s="331"/>
      <c r="T147" s="331"/>
      <c r="U147" s="331"/>
      <c r="V147" s="331"/>
      <c r="W147" s="331"/>
      <c r="X147" s="332"/>
      <c r="Y147" s="331"/>
      <c r="Z147" s="329"/>
      <c r="AA147" s="333"/>
      <c r="AB147" s="334"/>
      <c r="AC147" s="335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6"/>
      <c r="AP147" s="337"/>
      <c r="AQ147" s="337"/>
      <c r="AR147" s="337"/>
      <c r="AS147" s="337"/>
      <c r="AT147" s="337"/>
      <c r="AU147" s="337"/>
      <c r="AV147" s="337"/>
      <c r="AW147" s="337"/>
      <c r="AX147" s="337"/>
      <c r="AY147" s="337"/>
      <c r="AZ147" s="337"/>
      <c r="BA147" s="337"/>
      <c r="BB147" s="338"/>
      <c r="BC147" s="339"/>
      <c r="BD147" s="340"/>
      <c r="BE147" s="341"/>
    </row>
    <row r="148" spans="1:57" x14ac:dyDescent="0.3">
      <c r="A148" s="241" t="str">
        <f t="shared" si="2"/>
        <v/>
      </c>
      <c r="B148" s="364"/>
      <c r="C148" s="362"/>
      <c r="D148" s="363"/>
      <c r="E148" s="366"/>
      <c r="F148" s="327"/>
      <c r="G148" s="329"/>
      <c r="H148" s="329"/>
      <c r="I148" s="329"/>
      <c r="J148" s="329"/>
      <c r="K148" s="329"/>
      <c r="L148" s="329"/>
      <c r="M148" s="329"/>
      <c r="N148" s="329"/>
      <c r="O148" s="330"/>
      <c r="P148" s="330"/>
      <c r="Q148" s="331"/>
      <c r="R148" s="331"/>
      <c r="S148" s="331"/>
      <c r="T148" s="331"/>
      <c r="U148" s="331"/>
      <c r="V148" s="331"/>
      <c r="W148" s="331"/>
      <c r="X148" s="332"/>
      <c r="Y148" s="331"/>
      <c r="Z148" s="329"/>
      <c r="AA148" s="333"/>
      <c r="AB148" s="334"/>
      <c r="AC148" s="335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6"/>
      <c r="AP148" s="337"/>
      <c r="AQ148" s="337"/>
      <c r="AR148" s="337"/>
      <c r="AS148" s="337"/>
      <c r="AT148" s="337"/>
      <c r="AU148" s="337"/>
      <c r="AV148" s="337"/>
      <c r="AW148" s="337"/>
      <c r="AX148" s="337"/>
      <c r="AY148" s="337"/>
      <c r="AZ148" s="337"/>
      <c r="BA148" s="337"/>
      <c r="BB148" s="338"/>
      <c r="BC148" s="339"/>
      <c r="BD148" s="340"/>
      <c r="BE148" s="341"/>
    </row>
    <row r="149" spans="1:57" ht="15" customHeight="1" x14ac:dyDescent="0.3">
      <c r="A149" s="241" t="str">
        <f t="shared" si="2"/>
        <v/>
      </c>
      <c r="B149" s="364"/>
      <c r="C149" s="362"/>
      <c r="D149" s="363"/>
      <c r="E149" s="366"/>
      <c r="F149" s="347"/>
      <c r="G149" s="329"/>
      <c r="H149" s="329"/>
      <c r="I149" s="329"/>
      <c r="J149" s="329"/>
      <c r="K149" s="329"/>
      <c r="L149" s="329"/>
      <c r="M149" s="329"/>
      <c r="N149" s="329"/>
      <c r="O149" s="330"/>
      <c r="P149" s="330"/>
      <c r="Q149" s="331"/>
      <c r="R149" s="331"/>
      <c r="S149" s="331"/>
      <c r="T149" s="331"/>
      <c r="U149" s="331"/>
      <c r="V149" s="331"/>
      <c r="W149" s="331"/>
      <c r="X149" s="332"/>
      <c r="Y149" s="331"/>
      <c r="Z149" s="329"/>
      <c r="AA149" s="333"/>
      <c r="AB149" s="334"/>
      <c r="AC149" s="335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6"/>
      <c r="AP149" s="337"/>
      <c r="AQ149" s="337"/>
      <c r="AR149" s="337"/>
      <c r="AS149" s="337"/>
      <c r="AT149" s="337"/>
      <c r="AU149" s="337"/>
      <c r="AV149" s="337"/>
      <c r="AW149" s="337"/>
      <c r="AX149" s="337"/>
      <c r="AY149" s="337"/>
      <c r="AZ149" s="337"/>
      <c r="BA149" s="337"/>
      <c r="BB149" s="338"/>
      <c r="BC149" s="339"/>
      <c r="BD149" s="340"/>
      <c r="BE149" s="341"/>
    </row>
    <row r="150" spans="1:57" ht="15" customHeight="1" x14ac:dyDescent="0.3">
      <c r="A150" s="241" t="str">
        <f t="shared" si="2"/>
        <v/>
      </c>
      <c r="B150" s="364"/>
      <c r="C150" s="362"/>
      <c r="D150" s="363"/>
      <c r="E150" s="365"/>
      <c r="F150" s="327"/>
      <c r="G150" s="329"/>
      <c r="H150" s="329"/>
      <c r="I150" s="329"/>
      <c r="J150" s="329"/>
      <c r="K150" s="329"/>
      <c r="L150" s="329"/>
      <c r="M150" s="329"/>
      <c r="N150" s="329"/>
      <c r="O150" s="330"/>
      <c r="P150" s="330"/>
      <c r="Q150" s="331"/>
      <c r="R150" s="331"/>
      <c r="S150" s="331"/>
      <c r="T150" s="331"/>
      <c r="U150" s="331"/>
      <c r="V150" s="331"/>
      <c r="W150" s="331"/>
      <c r="X150" s="332"/>
      <c r="Y150" s="331"/>
      <c r="Z150" s="329"/>
      <c r="AA150" s="333"/>
      <c r="AB150" s="334"/>
      <c r="AC150" s="335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6"/>
      <c r="AP150" s="337"/>
      <c r="AQ150" s="337"/>
      <c r="AR150" s="337"/>
      <c r="AS150" s="337"/>
      <c r="AT150" s="337"/>
      <c r="AU150" s="337"/>
      <c r="AV150" s="337"/>
      <c r="AW150" s="337"/>
      <c r="AX150" s="337"/>
      <c r="AY150" s="337"/>
      <c r="AZ150" s="337"/>
      <c r="BA150" s="337"/>
      <c r="BB150" s="338"/>
      <c r="BC150" s="339"/>
      <c r="BD150" s="340"/>
      <c r="BE150" s="341"/>
    </row>
    <row r="151" spans="1:57" ht="15" customHeight="1" x14ac:dyDescent="0.3">
      <c r="A151" s="241" t="str">
        <f t="shared" si="2"/>
        <v/>
      </c>
      <c r="B151" s="364"/>
      <c r="C151" s="362"/>
      <c r="D151" s="363"/>
      <c r="E151" s="365"/>
      <c r="F151" s="347"/>
      <c r="G151" s="329"/>
      <c r="H151" s="329"/>
      <c r="I151" s="329"/>
      <c r="J151" s="329"/>
      <c r="K151" s="329"/>
      <c r="L151" s="329"/>
      <c r="M151" s="329"/>
      <c r="N151" s="329"/>
      <c r="O151" s="330"/>
      <c r="P151" s="330"/>
      <c r="Q151" s="331"/>
      <c r="R151" s="331"/>
      <c r="S151" s="331"/>
      <c r="T151" s="331"/>
      <c r="U151" s="331"/>
      <c r="V151" s="331"/>
      <c r="W151" s="331"/>
      <c r="X151" s="332"/>
      <c r="Y151" s="331"/>
      <c r="Z151" s="329"/>
      <c r="AA151" s="333"/>
      <c r="AB151" s="334"/>
      <c r="AC151" s="335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6"/>
      <c r="AP151" s="337"/>
      <c r="AQ151" s="337"/>
      <c r="AR151" s="337"/>
      <c r="AS151" s="337"/>
      <c r="AT151" s="337"/>
      <c r="AU151" s="337"/>
      <c r="AV151" s="337"/>
      <c r="AW151" s="337"/>
      <c r="AX151" s="337"/>
      <c r="AY151" s="337"/>
      <c r="AZ151" s="337"/>
      <c r="BA151" s="337"/>
      <c r="BB151" s="338"/>
      <c r="BC151" s="339"/>
      <c r="BD151" s="340"/>
      <c r="BE151" s="341"/>
    </row>
    <row r="152" spans="1:57" ht="15" customHeight="1" x14ac:dyDescent="0.3">
      <c r="A152" s="241" t="str">
        <f t="shared" si="2"/>
        <v/>
      </c>
      <c r="B152" s="371"/>
      <c r="C152" s="362"/>
      <c r="D152" s="363"/>
      <c r="E152" s="366"/>
      <c r="F152" s="347"/>
      <c r="G152" s="329"/>
      <c r="H152" s="329"/>
      <c r="I152" s="329"/>
      <c r="J152" s="329"/>
      <c r="K152" s="329"/>
      <c r="L152" s="329"/>
      <c r="M152" s="329"/>
      <c r="N152" s="329"/>
      <c r="O152" s="330"/>
      <c r="P152" s="330"/>
      <c r="Q152" s="331"/>
      <c r="R152" s="331"/>
      <c r="S152" s="331"/>
      <c r="T152" s="331"/>
      <c r="U152" s="331"/>
      <c r="V152" s="331"/>
      <c r="W152" s="331"/>
      <c r="X152" s="332"/>
      <c r="Y152" s="331"/>
      <c r="Z152" s="329"/>
      <c r="AA152" s="333"/>
      <c r="AB152" s="334"/>
      <c r="AC152" s="335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7"/>
      <c r="AQ152" s="337"/>
      <c r="AR152" s="337"/>
      <c r="AS152" s="337"/>
      <c r="AT152" s="337"/>
      <c r="AU152" s="337"/>
      <c r="AV152" s="337"/>
      <c r="AW152" s="337"/>
      <c r="AX152" s="337"/>
      <c r="AY152" s="337"/>
      <c r="AZ152" s="337"/>
      <c r="BA152" s="337"/>
      <c r="BB152" s="338"/>
      <c r="BC152" s="339"/>
      <c r="BD152" s="340"/>
      <c r="BE152" s="341"/>
    </row>
    <row r="153" spans="1:57" ht="14.25" customHeight="1" x14ac:dyDescent="0.3">
      <c r="A153" s="241" t="str">
        <f t="shared" si="2"/>
        <v/>
      </c>
      <c r="B153" s="375"/>
      <c r="C153" s="362"/>
      <c r="D153" s="363"/>
      <c r="E153" s="366"/>
      <c r="F153" s="347"/>
      <c r="G153" s="329"/>
      <c r="H153" s="329"/>
      <c r="I153" s="329"/>
      <c r="J153" s="329"/>
      <c r="K153" s="329"/>
      <c r="L153" s="329"/>
      <c r="M153" s="329"/>
      <c r="N153" s="329"/>
      <c r="O153" s="330"/>
      <c r="P153" s="330"/>
      <c r="Q153" s="331"/>
      <c r="R153" s="331"/>
      <c r="S153" s="331"/>
      <c r="T153" s="331"/>
      <c r="U153" s="331"/>
      <c r="V153" s="331"/>
      <c r="W153" s="331"/>
      <c r="X153" s="332"/>
      <c r="Y153" s="331"/>
      <c r="Z153" s="329"/>
      <c r="AA153" s="333"/>
      <c r="AB153" s="334"/>
      <c r="AC153" s="335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6"/>
      <c r="AP153" s="337"/>
      <c r="AQ153" s="337"/>
      <c r="AR153" s="337"/>
      <c r="AS153" s="337"/>
      <c r="AT153" s="337"/>
      <c r="AU153" s="337"/>
      <c r="AV153" s="337"/>
      <c r="AW153" s="337"/>
      <c r="AX153" s="337"/>
      <c r="AY153" s="337"/>
      <c r="AZ153" s="337"/>
      <c r="BA153" s="337"/>
      <c r="BB153" s="338"/>
      <c r="BC153" s="339"/>
      <c r="BD153" s="340"/>
      <c r="BE153" s="341"/>
    </row>
    <row r="154" spans="1:57" ht="15" customHeight="1" x14ac:dyDescent="0.3">
      <c r="A154" s="241" t="str">
        <f t="shared" si="2"/>
        <v/>
      </c>
      <c r="B154" s="364"/>
      <c r="C154" s="362"/>
      <c r="D154" s="363"/>
      <c r="E154" s="366"/>
      <c r="F154" s="329"/>
      <c r="G154" s="329"/>
      <c r="H154" s="329"/>
      <c r="I154" s="329"/>
      <c r="J154" s="329"/>
      <c r="K154" s="329"/>
      <c r="L154" s="329"/>
      <c r="M154" s="329"/>
      <c r="N154" s="329"/>
      <c r="O154" s="330"/>
      <c r="P154" s="330"/>
      <c r="Q154" s="331"/>
      <c r="R154" s="331"/>
      <c r="S154" s="331"/>
      <c r="T154" s="331"/>
      <c r="U154" s="331"/>
      <c r="V154" s="331"/>
      <c r="W154" s="331"/>
      <c r="X154" s="332"/>
      <c r="Y154" s="331"/>
      <c r="Z154" s="329"/>
      <c r="AA154" s="333"/>
      <c r="AB154" s="334"/>
      <c r="AC154" s="335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6"/>
      <c r="AP154" s="337"/>
      <c r="AQ154" s="337"/>
      <c r="AR154" s="337"/>
      <c r="AS154" s="337"/>
      <c r="AT154" s="337"/>
      <c r="AU154" s="337"/>
      <c r="AV154" s="337"/>
      <c r="AW154" s="337"/>
      <c r="AX154" s="337"/>
      <c r="AY154" s="337"/>
      <c r="AZ154" s="337"/>
      <c r="BA154" s="337"/>
      <c r="BB154" s="338"/>
      <c r="BC154" s="339"/>
      <c r="BD154" s="340"/>
      <c r="BE154" s="341"/>
    </row>
    <row r="155" spans="1:57" ht="15" customHeight="1" x14ac:dyDescent="0.3">
      <c r="A155" s="241" t="str">
        <f t="shared" si="2"/>
        <v/>
      </c>
      <c r="B155" s="364"/>
      <c r="C155" s="362"/>
      <c r="D155" s="363"/>
      <c r="E155" s="366"/>
      <c r="F155" s="327"/>
      <c r="G155" s="329"/>
      <c r="H155" s="329"/>
      <c r="I155" s="329"/>
      <c r="J155" s="329"/>
      <c r="K155" s="329"/>
      <c r="L155" s="329"/>
      <c r="M155" s="329"/>
      <c r="N155" s="329"/>
      <c r="O155" s="330"/>
      <c r="P155" s="330"/>
      <c r="Q155" s="331"/>
      <c r="R155" s="331"/>
      <c r="S155" s="331"/>
      <c r="T155" s="331"/>
      <c r="U155" s="331"/>
      <c r="V155" s="331"/>
      <c r="W155" s="331"/>
      <c r="X155" s="332"/>
      <c r="Y155" s="331"/>
      <c r="Z155" s="329"/>
      <c r="AA155" s="333"/>
      <c r="AB155" s="334"/>
      <c r="AC155" s="335"/>
      <c r="AD155" s="336"/>
      <c r="AE155" s="336"/>
      <c r="AF155" s="336"/>
      <c r="AG155" s="336"/>
      <c r="AH155" s="336"/>
      <c r="AI155" s="336"/>
      <c r="AJ155" s="336"/>
      <c r="AK155" s="336"/>
      <c r="AL155" s="336"/>
      <c r="AM155" s="336"/>
      <c r="AN155" s="336"/>
      <c r="AO155" s="336"/>
      <c r="AP155" s="337"/>
      <c r="AQ155" s="337"/>
      <c r="AR155" s="337"/>
      <c r="AS155" s="337"/>
      <c r="AT155" s="337"/>
      <c r="AU155" s="337"/>
      <c r="AV155" s="337"/>
      <c r="AW155" s="337"/>
      <c r="AX155" s="337"/>
      <c r="AY155" s="337"/>
      <c r="AZ155" s="337"/>
      <c r="BA155" s="337"/>
      <c r="BB155" s="338"/>
      <c r="BC155" s="339"/>
      <c r="BD155" s="340"/>
      <c r="BE155" s="341"/>
    </row>
    <row r="156" spans="1:57" ht="15" customHeight="1" x14ac:dyDescent="0.3">
      <c r="A156" s="241" t="str">
        <f t="shared" si="2"/>
        <v/>
      </c>
      <c r="B156" s="364"/>
      <c r="C156" s="362"/>
      <c r="D156" s="363"/>
      <c r="E156" s="366"/>
      <c r="F156" s="347"/>
      <c r="G156" s="329"/>
      <c r="H156" s="329"/>
      <c r="I156" s="329"/>
      <c r="J156" s="329"/>
      <c r="K156" s="329"/>
      <c r="L156" s="329"/>
      <c r="M156" s="329"/>
      <c r="N156" s="329"/>
      <c r="O156" s="330"/>
      <c r="P156" s="330"/>
      <c r="Q156" s="331"/>
      <c r="R156" s="331"/>
      <c r="S156" s="331"/>
      <c r="T156" s="331"/>
      <c r="U156" s="331"/>
      <c r="V156" s="331"/>
      <c r="W156" s="331"/>
      <c r="X156" s="332"/>
      <c r="Y156" s="331"/>
      <c r="Z156" s="329"/>
      <c r="AA156" s="333"/>
      <c r="AB156" s="334"/>
      <c r="AC156" s="335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7"/>
      <c r="AQ156" s="337"/>
      <c r="AR156" s="337"/>
      <c r="AS156" s="337"/>
      <c r="AT156" s="337"/>
      <c r="AU156" s="337"/>
      <c r="AV156" s="337"/>
      <c r="AW156" s="337"/>
      <c r="AX156" s="337"/>
      <c r="AY156" s="337"/>
      <c r="AZ156" s="337"/>
      <c r="BA156" s="337"/>
      <c r="BB156" s="338"/>
      <c r="BC156" s="339"/>
      <c r="BD156" s="340"/>
      <c r="BE156" s="341"/>
    </row>
    <row r="157" spans="1:57" x14ac:dyDescent="0.3">
      <c r="A157" s="241" t="str">
        <f t="shared" si="2"/>
        <v/>
      </c>
      <c r="B157" s="371"/>
      <c r="C157" s="362"/>
      <c r="D157" s="363"/>
      <c r="E157" s="366"/>
      <c r="F157" s="327"/>
      <c r="G157" s="329"/>
      <c r="H157" s="329"/>
      <c r="I157" s="329"/>
      <c r="J157" s="329"/>
      <c r="K157" s="329"/>
      <c r="L157" s="329"/>
      <c r="M157" s="329"/>
      <c r="N157" s="329"/>
      <c r="O157" s="330"/>
      <c r="P157" s="330"/>
      <c r="Q157" s="331"/>
      <c r="R157" s="331"/>
      <c r="S157" s="331"/>
      <c r="T157" s="331"/>
      <c r="U157" s="331"/>
      <c r="V157" s="331"/>
      <c r="W157" s="331"/>
      <c r="X157" s="332"/>
      <c r="Y157" s="331"/>
      <c r="Z157" s="329"/>
      <c r="AA157" s="333"/>
      <c r="AB157" s="334"/>
      <c r="AC157" s="335"/>
      <c r="AD157" s="336"/>
      <c r="AE157" s="336"/>
      <c r="AF157" s="336"/>
      <c r="AG157" s="336"/>
      <c r="AH157" s="336"/>
      <c r="AI157" s="336"/>
      <c r="AJ157" s="336"/>
      <c r="AK157" s="336"/>
      <c r="AL157" s="336"/>
      <c r="AM157" s="336"/>
      <c r="AN157" s="336"/>
      <c r="AO157" s="336"/>
      <c r="AP157" s="337"/>
      <c r="AQ157" s="337"/>
      <c r="AR157" s="337"/>
      <c r="AS157" s="337"/>
      <c r="AT157" s="337"/>
      <c r="AU157" s="337"/>
      <c r="AV157" s="337"/>
      <c r="AW157" s="337"/>
      <c r="AX157" s="337"/>
      <c r="AY157" s="337"/>
      <c r="AZ157" s="337"/>
      <c r="BA157" s="337"/>
      <c r="BB157" s="338"/>
      <c r="BC157" s="339"/>
      <c r="BD157" s="340"/>
      <c r="BE157" s="341"/>
    </row>
    <row r="158" spans="1:57" x14ac:dyDescent="0.3">
      <c r="A158" s="241" t="str">
        <f t="shared" si="2"/>
        <v/>
      </c>
      <c r="B158" s="371"/>
      <c r="C158" s="362"/>
      <c r="D158" s="363"/>
      <c r="E158" s="366"/>
      <c r="F158" s="327"/>
      <c r="G158" s="329"/>
      <c r="H158" s="329"/>
      <c r="I158" s="329"/>
      <c r="J158" s="329"/>
      <c r="K158" s="329"/>
      <c r="L158" s="329"/>
      <c r="M158" s="329"/>
      <c r="N158" s="329"/>
      <c r="O158" s="330"/>
      <c r="P158" s="330"/>
      <c r="Q158" s="331"/>
      <c r="R158" s="331"/>
      <c r="S158" s="331"/>
      <c r="T158" s="331"/>
      <c r="U158" s="331"/>
      <c r="V158" s="331"/>
      <c r="W158" s="331"/>
      <c r="X158" s="332"/>
      <c r="Y158" s="331"/>
      <c r="Z158" s="329"/>
      <c r="AA158" s="333"/>
      <c r="AB158" s="334"/>
      <c r="AC158" s="335"/>
      <c r="AD158" s="336"/>
      <c r="AE158" s="336"/>
      <c r="AF158" s="336"/>
      <c r="AG158" s="336"/>
      <c r="AH158" s="336"/>
      <c r="AI158" s="336"/>
      <c r="AJ158" s="336"/>
      <c r="AK158" s="336"/>
      <c r="AL158" s="336"/>
      <c r="AM158" s="336"/>
      <c r="AN158" s="336"/>
      <c r="AO158" s="336"/>
      <c r="AP158" s="337"/>
      <c r="AQ158" s="337"/>
      <c r="AR158" s="337"/>
      <c r="AS158" s="337"/>
      <c r="AT158" s="337"/>
      <c r="AU158" s="337"/>
      <c r="AV158" s="337"/>
      <c r="AW158" s="337"/>
      <c r="AX158" s="337"/>
      <c r="AY158" s="337"/>
      <c r="AZ158" s="337"/>
      <c r="BA158" s="337"/>
      <c r="BB158" s="338"/>
      <c r="BC158" s="339"/>
      <c r="BD158" s="340"/>
      <c r="BE158" s="341"/>
    </row>
    <row r="159" spans="1:57" x14ac:dyDescent="0.3">
      <c r="A159" s="241" t="str">
        <f t="shared" si="2"/>
        <v/>
      </c>
      <c r="B159" s="371"/>
      <c r="C159" s="362"/>
      <c r="D159" s="363"/>
      <c r="E159" s="366"/>
      <c r="F159" s="347"/>
      <c r="G159" s="329"/>
      <c r="H159" s="329"/>
      <c r="I159" s="329"/>
      <c r="J159" s="329"/>
      <c r="K159" s="329"/>
      <c r="L159" s="329"/>
      <c r="M159" s="329"/>
      <c r="N159" s="329"/>
      <c r="O159" s="330"/>
      <c r="P159" s="330"/>
      <c r="Q159" s="331"/>
      <c r="R159" s="331"/>
      <c r="S159" s="331"/>
      <c r="T159" s="331"/>
      <c r="U159" s="331"/>
      <c r="V159" s="331"/>
      <c r="W159" s="331"/>
      <c r="X159" s="332"/>
      <c r="Y159" s="331"/>
      <c r="Z159" s="329"/>
      <c r="AA159" s="333"/>
      <c r="AB159" s="334"/>
      <c r="AC159" s="335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7"/>
      <c r="AQ159" s="337"/>
      <c r="AR159" s="337"/>
      <c r="AS159" s="337"/>
      <c r="AT159" s="337"/>
      <c r="AU159" s="337"/>
      <c r="AV159" s="337"/>
      <c r="AW159" s="337"/>
      <c r="AX159" s="337"/>
      <c r="AY159" s="337"/>
      <c r="AZ159" s="337"/>
      <c r="BA159" s="337"/>
      <c r="BB159" s="338"/>
      <c r="BC159" s="339"/>
      <c r="BD159" s="340"/>
      <c r="BE159" s="341"/>
    </row>
    <row r="160" spans="1:57" x14ac:dyDescent="0.3">
      <c r="A160" s="241" t="str">
        <f t="shared" si="2"/>
        <v/>
      </c>
      <c r="B160" s="364"/>
      <c r="C160" s="362"/>
      <c r="D160" s="363"/>
      <c r="E160" s="366"/>
      <c r="F160" s="329"/>
      <c r="G160" s="329"/>
      <c r="H160" s="329"/>
      <c r="I160" s="329"/>
      <c r="J160" s="329"/>
      <c r="K160" s="329"/>
      <c r="L160" s="329"/>
      <c r="M160" s="329"/>
      <c r="N160" s="329"/>
      <c r="O160" s="330"/>
      <c r="P160" s="330"/>
      <c r="Q160" s="331"/>
      <c r="R160" s="331"/>
      <c r="S160" s="331"/>
      <c r="T160" s="331"/>
      <c r="U160" s="331"/>
      <c r="V160" s="331"/>
      <c r="W160" s="331"/>
      <c r="X160" s="332"/>
      <c r="Y160" s="331"/>
      <c r="Z160" s="329"/>
      <c r="AA160" s="333"/>
      <c r="AB160" s="334"/>
      <c r="AC160" s="335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7"/>
      <c r="AQ160" s="337"/>
      <c r="AR160" s="337"/>
      <c r="AS160" s="337"/>
      <c r="AT160" s="337"/>
      <c r="AU160" s="337"/>
      <c r="AV160" s="337"/>
      <c r="AW160" s="337"/>
      <c r="AX160" s="337"/>
      <c r="AY160" s="337"/>
      <c r="AZ160" s="337"/>
      <c r="BA160" s="337"/>
      <c r="BB160" s="338"/>
      <c r="BC160" s="339"/>
      <c r="BD160" s="340"/>
      <c r="BE160" s="341"/>
    </row>
    <row r="161" spans="1:57" x14ac:dyDescent="0.3">
      <c r="A161" s="241" t="str">
        <f t="shared" si="2"/>
        <v/>
      </c>
      <c r="B161" s="371"/>
      <c r="C161" s="362"/>
      <c r="D161" s="363"/>
      <c r="E161" s="366"/>
      <c r="F161" s="329"/>
      <c r="G161" s="329"/>
      <c r="H161" s="329"/>
      <c r="I161" s="329"/>
      <c r="J161" s="329"/>
      <c r="K161" s="329"/>
      <c r="L161" s="329"/>
      <c r="M161" s="329"/>
      <c r="N161" s="329"/>
      <c r="O161" s="330"/>
      <c r="P161" s="330"/>
      <c r="Q161" s="331"/>
      <c r="R161" s="331"/>
      <c r="S161" s="331"/>
      <c r="T161" s="331"/>
      <c r="U161" s="331"/>
      <c r="V161" s="331"/>
      <c r="W161" s="331"/>
      <c r="X161" s="332"/>
      <c r="Y161" s="331"/>
      <c r="Z161" s="329"/>
      <c r="AA161" s="333"/>
      <c r="AB161" s="334"/>
      <c r="AC161" s="335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6"/>
      <c r="AP161" s="337"/>
      <c r="AQ161" s="337"/>
      <c r="AR161" s="337"/>
      <c r="AS161" s="337"/>
      <c r="AT161" s="337"/>
      <c r="AU161" s="337"/>
      <c r="AV161" s="337"/>
      <c r="AW161" s="337"/>
      <c r="AX161" s="337"/>
      <c r="AY161" s="337"/>
      <c r="AZ161" s="337"/>
      <c r="BA161" s="337"/>
      <c r="BB161" s="338"/>
      <c r="BC161" s="339"/>
      <c r="BD161" s="340"/>
      <c r="BE161" s="341"/>
    </row>
    <row r="162" spans="1:57" x14ac:dyDescent="0.3">
      <c r="A162" s="241" t="str">
        <f t="shared" si="2"/>
        <v/>
      </c>
      <c r="B162" s="371"/>
      <c r="C162" s="362"/>
      <c r="D162" s="363"/>
      <c r="E162" s="366"/>
      <c r="F162" s="329"/>
      <c r="G162" s="329"/>
      <c r="H162" s="329"/>
      <c r="I162" s="329"/>
      <c r="J162" s="329"/>
      <c r="K162" s="329"/>
      <c r="L162" s="329"/>
      <c r="M162" s="329"/>
      <c r="N162" s="329"/>
      <c r="O162" s="330"/>
      <c r="P162" s="330"/>
      <c r="Q162" s="331"/>
      <c r="R162" s="331"/>
      <c r="S162" s="331"/>
      <c r="T162" s="331"/>
      <c r="U162" s="331"/>
      <c r="V162" s="331"/>
      <c r="W162" s="331"/>
      <c r="X162" s="332"/>
      <c r="Y162" s="331"/>
      <c r="Z162" s="329"/>
      <c r="AA162" s="333"/>
      <c r="AB162" s="334"/>
      <c r="AC162" s="335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6"/>
      <c r="AP162" s="337"/>
      <c r="AQ162" s="337"/>
      <c r="AR162" s="337"/>
      <c r="AS162" s="337"/>
      <c r="AT162" s="337"/>
      <c r="AU162" s="337"/>
      <c r="AV162" s="337"/>
      <c r="AW162" s="337"/>
      <c r="AX162" s="337"/>
      <c r="AY162" s="337"/>
      <c r="AZ162" s="337"/>
      <c r="BA162" s="337"/>
      <c r="BB162" s="338"/>
      <c r="BC162" s="339"/>
      <c r="BD162" s="340"/>
      <c r="BE162" s="341"/>
    </row>
    <row r="163" spans="1:57" ht="14.25" customHeight="1" x14ac:dyDescent="0.3">
      <c r="A163" s="241" t="str">
        <f t="shared" si="2"/>
        <v/>
      </c>
      <c r="B163" s="371"/>
      <c r="C163" s="362"/>
      <c r="D163" s="363"/>
      <c r="E163" s="366"/>
      <c r="F163" s="327"/>
      <c r="G163" s="329"/>
      <c r="H163" s="329"/>
      <c r="I163" s="329"/>
      <c r="J163" s="329"/>
      <c r="K163" s="329"/>
      <c r="L163" s="329"/>
      <c r="M163" s="329"/>
      <c r="N163" s="329"/>
      <c r="O163" s="330"/>
      <c r="P163" s="330"/>
      <c r="Q163" s="331"/>
      <c r="R163" s="331"/>
      <c r="S163" s="331"/>
      <c r="T163" s="331"/>
      <c r="U163" s="331"/>
      <c r="V163" s="331"/>
      <c r="W163" s="331"/>
      <c r="X163" s="332"/>
      <c r="Y163" s="331"/>
      <c r="Z163" s="329"/>
      <c r="AA163" s="333"/>
      <c r="AB163" s="334"/>
      <c r="AC163" s="335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7"/>
      <c r="AQ163" s="337"/>
      <c r="AR163" s="337"/>
      <c r="AS163" s="337"/>
      <c r="AT163" s="337"/>
      <c r="AU163" s="337"/>
      <c r="AV163" s="337"/>
      <c r="AW163" s="337"/>
      <c r="AX163" s="337"/>
      <c r="AY163" s="337"/>
      <c r="AZ163" s="337"/>
      <c r="BA163" s="337"/>
      <c r="BB163" s="338"/>
      <c r="BC163" s="339"/>
      <c r="BD163" s="340"/>
      <c r="BE163" s="341"/>
    </row>
    <row r="164" spans="1:57" x14ac:dyDescent="0.3">
      <c r="A164" s="241" t="str">
        <f t="shared" si="2"/>
        <v/>
      </c>
      <c r="B164" s="371"/>
      <c r="C164" s="362"/>
      <c r="D164" s="363"/>
      <c r="E164" s="366"/>
      <c r="F164" s="327"/>
      <c r="G164" s="329"/>
      <c r="H164" s="329"/>
      <c r="I164" s="329"/>
      <c r="J164" s="329"/>
      <c r="K164" s="329"/>
      <c r="L164" s="329"/>
      <c r="M164" s="329"/>
      <c r="N164" s="329"/>
      <c r="O164" s="330"/>
      <c r="P164" s="330"/>
      <c r="Q164" s="331"/>
      <c r="R164" s="331"/>
      <c r="S164" s="331"/>
      <c r="T164" s="331"/>
      <c r="U164" s="331"/>
      <c r="V164" s="331"/>
      <c r="W164" s="331"/>
      <c r="X164" s="332"/>
      <c r="Y164" s="331"/>
      <c r="Z164" s="329"/>
      <c r="AA164" s="333"/>
      <c r="AB164" s="334"/>
      <c r="AC164" s="335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6"/>
      <c r="AP164" s="337"/>
      <c r="AQ164" s="337"/>
      <c r="AR164" s="337"/>
      <c r="AS164" s="337"/>
      <c r="AT164" s="337"/>
      <c r="AU164" s="337"/>
      <c r="AV164" s="337"/>
      <c r="AW164" s="337"/>
      <c r="AX164" s="337"/>
      <c r="AY164" s="337"/>
      <c r="AZ164" s="337"/>
      <c r="BA164" s="337"/>
      <c r="BB164" s="338"/>
      <c r="BC164" s="339"/>
      <c r="BD164" s="340"/>
      <c r="BE164" s="341"/>
    </row>
    <row r="165" spans="1:57" x14ac:dyDescent="0.3">
      <c r="A165" s="241" t="str">
        <f t="shared" si="2"/>
        <v/>
      </c>
      <c r="B165" s="371"/>
      <c r="C165" s="362"/>
      <c r="D165" s="363"/>
      <c r="E165" s="366"/>
      <c r="F165" s="347"/>
      <c r="G165" s="329"/>
      <c r="H165" s="329"/>
      <c r="I165" s="329"/>
      <c r="J165" s="329"/>
      <c r="K165" s="329"/>
      <c r="L165" s="329"/>
      <c r="M165" s="329"/>
      <c r="N165" s="329"/>
      <c r="O165" s="330"/>
      <c r="P165" s="330"/>
      <c r="Q165" s="331"/>
      <c r="R165" s="331"/>
      <c r="S165" s="331"/>
      <c r="T165" s="331"/>
      <c r="U165" s="331"/>
      <c r="V165" s="331"/>
      <c r="W165" s="331"/>
      <c r="X165" s="332"/>
      <c r="Y165" s="331"/>
      <c r="Z165" s="329"/>
      <c r="AA165" s="333"/>
      <c r="AB165" s="334"/>
      <c r="AC165" s="335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6"/>
      <c r="AP165" s="337"/>
      <c r="AQ165" s="337"/>
      <c r="AR165" s="337"/>
      <c r="AS165" s="337"/>
      <c r="AT165" s="337"/>
      <c r="AU165" s="337"/>
      <c r="AV165" s="337"/>
      <c r="AW165" s="337"/>
      <c r="AX165" s="337"/>
      <c r="AY165" s="337"/>
      <c r="AZ165" s="337"/>
      <c r="BA165" s="337"/>
      <c r="BB165" s="338"/>
      <c r="BC165" s="339"/>
      <c r="BD165" s="340"/>
      <c r="BE165" s="341"/>
    </row>
    <row r="166" spans="1:57" x14ac:dyDescent="0.3">
      <c r="A166" s="241" t="str">
        <f t="shared" si="2"/>
        <v/>
      </c>
      <c r="B166" s="371"/>
      <c r="C166" s="362"/>
      <c r="D166" s="363"/>
      <c r="E166" s="366"/>
      <c r="F166" s="347"/>
      <c r="G166" s="329"/>
      <c r="H166" s="329"/>
      <c r="I166" s="329"/>
      <c r="J166" s="329"/>
      <c r="K166" s="329"/>
      <c r="L166" s="329"/>
      <c r="M166" s="329"/>
      <c r="N166" s="329"/>
      <c r="O166" s="330"/>
      <c r="P166" s="330"/>
      <c r="Q166" s="331"/>
      <c r="R166" s="331"/>
      <c r="S166" s="331"/>
      <c r="T166" s="331"/>
      <c r="U166" s="331"/>
      <c r="V166" s="331"/>
      <c r="W166" s="331"/>
      <c r="X166" s="332"/>
      <c r="Y166" s="331"/>
      <c r="Z166" s="329"/>
      <c r="AA166" s="333"/>
      <c r="AB166" s="334"/>
      <c r="AC166" s="335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6"/>
      <c r="AP166" s="337"/>
      <c r="AQ166" s="337"/>
      <c r="AR166" s="337"/>
      <c r="AS166" s="337"/>
      <c r="AT166" s="337"/>
      <c r="AU166" s="337"/>
      <c r="AV166" s="337"/>
      <c r="AW166" s="337"/>
      <c r="AX166" s="337"/>
      <c r="AY166" s="337"/>
      <c r="AZ166" s="337"/>
      <c r="BA166" s="337"/>
      <c r="BB166" s="338"/>
      <c r="BC166" s="339"/>
      <c r="BD166" s="340"/>
      <c r="BE166" s="341"/>
    </row>
    <row r="167" spans="1:57" x14ac:dyDescent="0.3">
      <c r="A167" s="241" t="str">
        <f t="shared" si="2"/>
        <v/>
      </c>
      <c r="B167" s="364"/>
      <c r="C167" s="362"/>
      <c r="D167" s="363"/>
      <c r="E167" s="366"/>
      <c r="F167" s="347"/>
      <c r="G167" s="329"/>
      <c r="H167" s="329"/>
      <c r="I167" s="329"/>
      <c r="J167" s="329"/>
      <c r="K167" s="329"/>
      <c r="L167" s="329"/>
      <c r="M167" s="329"/>
      <c r="N167" s="329"/>
      <c r="O167" s="330"/>
      <c r="P167" s="330"/>
      <c r="Q167" s="331"/>
      <c r="R167" s="331"/>
      <c r="S167" s="331"/>
      <c r="T167" s="331"/>
      <c r="U167" s="331"/>
      <c r="V167" s="331"/>
      <c r="W167" s="331"/>
      <c r="X167" s="332"/>
      <c r="Y167" s="331"/>
      <c r="Z167" s="329"/>
      <c r="AA167" s="333"/>
      <c r="AB167" s="334"/>
      <c r="AC167" s="335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6"/>
      <c r="AP167" s="337"/>
      <c r="AQ167" s="337"/>
      <c r="AR167" s="337"/>
      <c r="AS167" s="337"/>
      <c r="AT167" s="337"/>
      <c r="AU167" s="337"/>
      <c r="AV167" s="337"/>
      <c r="AW167" s="337"/>
      <c r="AX167" s="337"/>
      <c r="AY167" s="337"/>
      <c r="AZ167" s="337"/>
      <c r="BA167" s="337"/>
      <c r="BB167" s="338"/>
      <c r="BC167" s="339"/>
      <c r="BD167" s="340"/>
      <c r="BE167" s="341"/>
    </row>
    <row r="168" spans="1:57" x14ac:dyDescent="0.3">
      <c r="A168" s="241" t="str">
        <f t="shared" si="2"/>
        <v/>
      </c>
      <c r="B168" s="371"/>
      <c r="C168" s="362"/>
      <c r="D168" s="363"/>
      <c r="E168" s="366"/>
      <c r="F168" s="327"/>
      <c r="G168" s="329"/>
      <c r="H168" s="329"/>
      <c r="I168" s="329"/>
      <c r="J168" s="329"/>
      <c r="K168" s="329"/>
      <c r="L168" s="329"/>
      <c r="M168" s="329"/>
      <c r="N168" s="329"/>
      <c r="O168" s="330"/>
      <c r="P168" s="330"/>
      <c r="Q168" s="331"/>
      <c r="R168" s="331"/>
      <c r="S168" s="331"/>
      <c r="T168" s="331"/>
      <c r="U168" s="331"/>
      <c r="V168" s="331"/>
      <c r="W168" s="331"/>
      <c r="X168" s="332"/>
      <c r="Y168" s="331"/>
      <c r="Z168" s="329"/>
      <c r="AA168" s="333"/>
      <c r="AB168" s="334"/>
      <c r="AC168" s="335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6"/>
      <c r="AP168" s="337"/>
      <c r="AQ168" s="337"/>
      <c r="AR168" s="337"/>
      <c r="AS168" s="337"/>
      <c r="AT168" s="337"/>
      <c r="AU168" s="337"/>
      <c r="AV168" s="337"/>
      <c r="AW168" s="337"/>
      <c r="AX168" s="337"/>
      <c r="AY168" s="337"/>
      <c r="AZ168" s="337"/>
      <c r="BA168" s="337"/>
      <c r="BB168" s="338"/>
      <c r="BC168" s="339"/>
      <c r="BD168" s="340"/>
      <c r="BE168" s="341"/>
    </row>
    <row r="169" spans="1:57" x14ac:dyDescent="0.3">
      <c r="A169" s="241" t="str">
        <f t="shared" si="2"/>
        <v/>
      </c>
      <c r="B169" s="364"/>
      <c r="C169" s="362"/>
      <c r="D169" s="363"/>
      <c r="E169" s="366"/>
      <c r="F169" s="327"/>
      <c r="G169" s="329"/>
      <c r="H169" s="329"/>
      <c r="I169" s="329"/>
      <c r="J169" s="329"/>
      <c r="K169" s="329"/>
      <c r="L169" s="329"/>
      <c r="M169" s="329"/>
      <c r="N169" s="329"/>
      <c r="O169" s="330"/>
      <c r="P169" s="330"/>
      <c r="Q169" s="331"/>
      <c r="R169" s="331"/>
      <c r="S169" s="331"/>
      <c r="T169" s="331"/>
      <c r="U169" s="331"/>
      <c r="V169" s="331"/>
      <c r="W169" s="331"/>
      <c r="X169" s="332"/>
      <c r="Y169" s="331"/>
      <c r="Z169" s="329"/>
      <c r="AA169" s="333"/>
      <c r="AB169" s="334"/>
      <c r="AC169" s="335"/>
      <c r="AD169" s="336"/>
      <c r="AE169" s="336"/>
      <c r="AF169" s="336"/>
      <c r="AG169" s="336"/>
      <c r="AH169" s="336"/>
      <c r="AI169" s="336"/>
      <c r="AJ169" s="336"/>
      <c r="AK169" s="336"/>
      <c r="AL169" s="336"/>
      <c r="AM169" s="336"/>
      <c r="AN169" s="336"/>
      <c r="AO169" s="336"/>
      <c r="AP169" s="337"/>
      <c r="AQ169" s="337"/>
      <c r="AR169" s="337"/>
      <c r="AS169" s="337"/>
      <c r="AT169" s="337"/>
      <c r="AU169" s="337"/>
      <c r="AV169" s="337"/>
      <c r="AW169" s="337"/>
      <c r="AX169" s="337"/>
      <c r="AY169" s="337"/>
      <c r="AZ169" s="337"/>
      <c r="BA169" s="337"/>
      <c r="BB169" s="338"/>
      <c r="BC169" s="339"/>
      <c r="BD169" s="340"/>
      <c r="BE169" s="341"/>
    </row>
    <row r="170" spans="1:57" x14ac:dyDescent="0.3">
      <c r="A170" s="241" t="str">
        <f t="shared" si="2"/>
        <v/>
      </c>
      <c r="B170" s="364"/>
      <c r="C170" s="362"/>
      <c r="D170" s="363"/>
      <c r="E170" s="366"/>
      <c r="F170" s="329"/>
      <c r="G170" s="329"/>
      <c r="H170" s="329"/>
      <c r="I170" s="329"/>
      <c r="J170" s="329"/>
      <c r="K170" s="329"/>
      <c r="L170" s="329"/>
      <c r="M170" s="329"/>
      <c r="N170" s="329"/>
      <c r="O170" s="330"/>
      <c r="P170" s="330"/>
      <c r="Q170" s="331"/>
      <c r="R170" s="331"/>
      <c r="S170" s="331"/>
      <c r="T170" s="331"/>
      <c r="U170" s="331"/>
      <c r="V170" s="331"/>
      <c r="W170" s="331"/>
      <c r="X170" s="332"/>
      <c r="Y170" s="331"/>
      <c r="Z170" s="329"/>
      <c r="AA170" s="333"/>
      <c r="AB170" s="334"/>
      <c r="AC170" s="335"/>
      <c r="AD170" s="336"/>
      <c r="AE170" s="336"/>
      <c r="AF170" s="336"/>
      <c r="AG170" s="336"/>
      <c r="AH170" s="336"/>
      <c r="AI170" s="336"/>
      <c r="AJ170" s="336"/>
      <c r="AK170" s="336"/>
      <c r="AL170" s="336"/>
      <c r="AM170" s="336"/>
      <c r="AN170" s="336"/>
      <c r="AO170" s="336"/>
      <c r="AP170" s="337"/>
      <c r="AQ170" s="337"/>
      <c r="AR170" s="337"/>
      <c r="AS170" s="337"/>
      <c r="AT170" s="337"/>
      <c r="AU170" s="337"/>
      <c r="AV170" s="337"/>
      <c r="AW170" s="337"/>
      <c r="AX170" s="337"/>
      <c r="AY170" s="337"/>
      <c r="AZ170" s="337"/>
      <c r="BA170" s="337"/>
      <c r="BB170" s="338"/>
      <c r="BC170" s="339"/>
      <c r="BD170" s="340"/>
      <c r="BE170" s="341"/>
    </row>
    <row r="171" spans="1:57" x14ac:dyDescent="0.3">
      <c r="A171" s="241" t="str">
        <f t="shared" si="2"/>
        <v/>
      </c>
      <c r="B171" s="364"/>
      <c r="C171" s="362"/>
      <c r="D171" s="363"/>
      <c r="E171" s="366"/>
      <c r="F171" s="329"/>
      <c r="G171" s="329"/>
      <c r="H171" s="329"/>
      <c r="I171" s="329"/>
      <c r="J171" s="329"/>
      <c r="K171" s="329"/>
      <c r="L171" s="329"/>
      <c r="M171" s="329"/>
      <c r="N171" s="329"/>
      <c r="O171" s="330"/>
      <c r="P171" s="330"/>
      <c r="Q171" s="331"/>
      <c r="R171" s="331"/>
      <c r="S171" s="331"/>
      <c r="T171" s="331"/>
      <c r="U171" s="331"/>
      <c r="V171" s="331"/>
      <c r="W171" s="331"/>
      <c r="X171" s="332"/>
      <c r="Y171" s="331"/>
      <c r="Z171" s="329"/>
      <c r="AA171" s="333"/>
      <c r="AB171" s="334"/>
      <c r="AC171" s="335"/>
      <c r="AD171" s="336"/>
      <c r="AE171" s="336"/>
      <c r="AF171" s="336"/>
      <c r="AG171" s="336"/>
      <c r="AH171" s="336"/>
      <c r="AI171" s="336"/>
      <c r="AJ171" s="336"/>
      <c r="AK171" s="336"/>
      <c r="AL171" s="336"/>
      <c r="AM171" s="336"/>
      <c r="AN171" s="336"/>
      <c r="AO171" s="336"/>
      <c r="AP171" s="337"/>
      <c r="AQ171" s="337"/>
      <c r="AR171" s="337"/>
      <c r="AS171" s="337"/>
      <c r="AT171" s="337"/>
      <c r="AU171" s="337"/>
      <c r="AV171" s="337"/>
      <c r="AW171" s="337"/>
      <c r="AX171" s="337"/>
      <c r="AY171" s="337"/>
      <c r="AZ171" s="337"/>
      <c r="BA171" s="337"/>
      <c r="BB171" s="338"/>
      <c r="BC171" s="339"/>
      <c r="BD171" s="340"/>
      <c r="BE171" s="341"/>
    </row>
    <row r="172" spans="1:57" ht="15.75" customHeight="1" x14ac:dyDescent="0.3">
      <c r="A172" s="241" t="str">
        <f t="shared" si="2"/>
        <v/>
      </c>
      <c r="B172" s="364"/>
      <c r="C172" s="362"/>
      <c r="D172" s="363"/>
      <c r="E172" s="366"/>
      <c r="F172" s="347"/>
      <c r="G172" s="329"/>
      <c r="H172" s="329"/>
      <c r="I172" s="329"/>
      <c r="J172" s="329"/>
      <c r="K172" s="329"/>
      <c r="L172" s="329"/>
      <c r="M172" s="329"/>
      <c r="N172" s="329"/>
      <c r="O172" s="330"/>
      <c r="P172" s="330"/>
      <c r="Q172" s="331"/>
      <c r="R172" s="331"/>
      <c r="S172" s="331"/>
      <c r="T172" s="331"/>
      <c r="U172" s="331"/>
      <c r="V172" s="331"/>
      <c r="W172" s="331"/>
      <c r="X172" s="332"/>
      <c r="Y172" s="331"/>
      <c r="Z172" s="329"/>
      <c r="AA172" s="333"/>
      <c r="AB172" s="334"/>
      <c r="AC172" s="335"/>
      <c r="AD172" s="336"/>
      <c r="AE172" s="336"/>
      <c r="AF172" s="336"/>
      <c r="AG172" s="336"/>
      <c r="AH172" s="336"/>
      <c r="AI172" s="336"/>
      <c r="AJ172" s="336"/>
      <c r="AK172" s="336"/>
      <c r="AL172" s="336"/>
      <c r="AM172" s="336"/>
      <c r="AN172" s="336"/>
      <c r="AO172" s="336"/>
      <c r="AP172" s="337"/>
      <c r="AQ172" s="337"/>
      <c r="AR172" s="337"/>
      <c r="AS172" s="337"/>
      <c r="AT172" s="337"/>
      <c r="AU172" s="337"/>
      <c r="AV172" s="337"/>
      <c r="AW172" s="337"/>
      <c r="AX172" s="337"/>
      <c r="AY172" s="337"/>
      <c r="AZ172" s="337"/>
      <c r="BA172" s="337"/>
      <c r="BB172" s="338"/>
      <c r="BC172" s="339"/>
      <c r="BD172" s="340"/>
      <c r="BE172" s="341"/>
    </row>
    <row r="173" spans="1:57" x14ac:dyDescent="0.3">
      <c r="A173" s="241" t="str">
        <f t="shared" si="2"/>
        <v/>
      </c>
      <c r="B173" s="371"/>
      <c r="C173" s="362"/>
      <c r="D173" s="363"/>
      <c r="E173" s="366"/>
      <c r="F173" s="327"/>
      <c r="G173" s="329"/>
      <c r="H173" s="329"/>
      <c r="I173" s="329"/>
      <c r="J173" s="329"/>
      <c r="K173" s="329"/>
      <c r="L173" s="329"/>
      <c r="M173" s="329"/>
      <c r="N173" s="329"/>
      <c r="O173" s="330"/>
      <c r="P173" s="330"/>
      <c r="Q173" s="331"/>
      <c r="R173" s="331"/>
      <c r="S173" s="331"/>
      <c r="T173" s="331"/>
      <c r="U173" s="331"/>
      <c r="V173" s="331"/>
      <c r="W173" s="331"/>
      <c r="X173" s="332"/>
      <c r="Y173" s="331"/>
      <c r="Z173" s="329"/>
      <c r="AA173" s="333"/>
      <c r="AB173" s="334"/>
      <c r="AC173" s="335"/>
      <c r="AD173" s="336"/>
      <c r="AE173" s="336"/>
      <c r="AF173" s="336"/>
      <c r="AG173" s="336"/>
      <c r="AH173" s="336"/>
      <c r="AI173" s="336"/>
      <c r="AJ173" s="336"/>
      <c r="AK173" s="336"/>
      <c r="AL173" s="336"/>
      <c r="AM173" s="336"/>
      <c r="AN173" s="336"/>
      <c r="AO173" s="336"/>
      <c r="AP173" s="337"/>
      <c r="AQ173" s="337"/>
      <c r="AR173" s="337"/>
      <c r="AS173" s="337"/>
      <c r="AT173" s="337"/>
      <c r="AU173" s="337"/>
      <c r="AV173" s="337"/>
      <c r="AW173" s="337"/>
      <c r="AX173" s="337"/>
      <c r="AY173" s="337"/>
      <c r="AZ173" s="337"/>
      <c r="BA173" s="337"/>
      <c r="BB173" s="338"/>
      <c r="BC173" s="339"/>
      <c r="BD173" s="340"/>
      <c r="BE173" s="341"/>
    </row>
    <row r="174" spans="1:57" x14ac:dyDescent="0.3">
      <c r="A174" s="241" t="str">
        <f t="shared" si="2"/>
        <v/>
      </c>
      <c r="B174" s="364"/>
      <c r="C174" s="362"/>
      <c r="D174" s="363"/>
      <c r="E174" s="366"/>
      <c r="F174" s="329"/>
      <c r="G174" s="329"/>
      <c r="H174" s="329"/>
      <c r="I174" s="329"/>
      <c r="J174" s="329"/>
      <c r="K174" s="329"/>
      <c r="L174" s="329"/>
      <c r="M174" s="329"/>
      <c r="N174" s="329"/>
      <c r="O174" s="330"/>
      <c r="P174" s="330"/>
      <c r="Q174" s="331"/>
      <c r="R174" s="331"/>
      <c r="S174" s="331"/>
      <c r="T174" s="331"/>
      <c r="U174" s="331"/>
      <c r="V174" s="331"/>
      <c r="W174" s="331"/>
      <c r="X174" s="332"/>
      <c r="Y174" s="331"/>
      <c r="Z174" s="329"/>
      <c r="AA174" s="333"/>
      <c r="AB174" s="334"/>
      <c r="AC174" s="335"/>
      <c r="AD174" s="336"/>
      <c r="AE174" s="336"/>
      <c r="AF174" s="336"/>
      <c r="AG174" s="336"/>
      <c r="AH174" s="336"/>
      <c r="AI174" s="336"/>
      <c r="AJ174" s="336"/>
      <c r="AK174" s="336"/>
      <c r="AL174" s="336"/>
      <c r="AM174" s="336"/>
      <c r="AN174" s="336"/>
      <c r="AO174" s="336"/>
      <c r="AP174" s="337"/>
      <c r="AQ174" s="337"/>
      <c r="AR174" s="337"/>
      <c r="AS174" s="337"/>
      <c r="AT174" s="337"/>
      <c r="AU174" s="337"/>
      <c r="AV174" s="337"/>
      <c r="AW174" s="337"/>
      <c r="AX174" s="337"/>
      <c r="AY174" s="337"/>
      <c r="AZ174" s="337"/>
      <c r="BA174" s="337"/>
      <c r="BB174" s="338"/>
      <c r="BC174" s="339"/>
      <c r="BD174" s="340"/>
      <c r="BE174" s="341"/>
    </row>
    <row r="175" spans="1:57" x14ac:dyDescent="0.3">
      <c r="A175" s="241" t="str">
        <f t="shared" si="2"/>
        <v/>
      </c>
      <c r="B175" s="371"/>
      <c r="C175" s="362"/>
      <c r="D175" s="363"/>
      <c r="E175" s="366"/>
      <c r="F175" s="347"/>
      <c r="G175" s="329"/>
      <c r="H175" s="329"/>
      <c r="I175" s="329"/>
      <c r="J175" s="329"/>
      <c r="K175" s="329"/>
      <c r="L175" s="329"/>
      <c r="M175" s="329"/>
      <c r="N175" s="329"/>
      <c r="O175" s="330"/>
      <c r="P175" s="330"/>
      <c r="Q175" s="331"/>
      <c r="R175" s="331"/>
      <c r="S175" s="331"/>
      <c r="T175" s="331"/>
      <c r="U175" s="331"/>
      <c r="V175" s="331"/>
      <c r="W175" s="331"/>
      <c r="X175" s="332"/>
      <c r="Y175" s="331"/>
      <c r="Z175" s="329"/>
      <c r="AA175" s="333"/>
      <c r="AB175" s="334"/>
      <c r="AC175" s="335"/>
      <c r="AD175" s="336"/>
      <c r="AE175" s="336"/>
      <c r="AF175" s="336"/>
      <c r="AG175" s="336"/>
      <c r="AH175" s="336"/>
      <c r="AI175" s="336"/>
      <c r="AJ175" s="336"/>
      <c r="AK175" s="336"/>
      <c r="AL175" s="336"/>
      <c r="AM175" s="336"/>
      <c r="AN175" s="336"/>
      <c r="AO175" s="336"/>
      <c r="AP175" s="337"/>
      <c r="AQ175" s="337"/>
      <c r="AR175" s="337"/>
      <c r="AS175" s="337"/>
      <c r="AT175" s="337"/>
      <c r="AU175" s="337"/>
      <c r="AV175" s="337"/>
      <c r="AW175" s="337"/>
      <c r="AX175" s="337"/>
      <c r="AY175" s="337"/>
      <c r="AZ175" s="337"/>
      <c r="BA175" s="337"/>
      <c r="BB175" s="338"/>
      <c r="BC175" s="339"/>
      <c r="BD175" s="340"/>
      <c r="BE175" s="341"/>
    </row>
    <row r="176" spans="1:57" x14ac:dyDescent="0.3">
      <c r="A176" s="241" t="str">
        <f t="shared" si="2"/>
        <v/>
      </c>
      <c r="B176" s="364"/>
      <c r="C176" s="362"/>
      <c r="D176" s="363"/>
      <c r="E176" s="366"/>
      <c r="F176" s="327"/>
      <c r="G176" s="329"/>
      <c r="H176" s="329"/>
      <c r="I176" s="329"/>
      <c r="J176" s="329"/>
      <c r="K176" s="329"/>
      <c r="L176" s="329"/>
      <c r="M176" s="329"/>
      <c r="N176" s="329"/>
      <c r="O176" s="330"/>
      <c r="P176" s="330"/>
      <c r="Q176" s="331"/>
      <c r="R176" s="331"/>
      <c r="S176" s="331"/>
      <c r="T176" s="331"/>
      <c r="U176" s="331"/>
      <c r="V176" s="331"/>
      <c r="W176" s="331"/>
      <c r="X176" s="332"/>
      <c r="Y176" s="331"/>
      <c r="Z176" s="329"/>
      <c r="AA176" s="333"/>
      <c r="AB176" s="334"/>
      <c r="AC176" s="335"/>
      <c r="AD176" s="336"/>
      <c r="AE176" s="336"/>
      <c r="AF176" s="336"/>
      <c r="AG176" s="336"/>
      <c r="AH176" s="336"/>
      <c r="AI176" s="336"/>
      <c r="AJ176" s="336"/>
      <c r="AK176" s="336"/>
      <c r="AL176" s="336"/>
      <c r="AM176" s="336"/>
      <c r="AN176" s="336"/>
      <c r="AO176" s="336"/>
      <c r="AP176" s="337"/>
      <c r="AQ176" s="337"/>
      <c r="AR176" s="337"/>
      <c r="AS176" s="337"/>
      <c r="AT176" s="337"/>
      <c r="AU176" s="337"/>
      <c r="AV176" s="337"/>
      <c r="AW176" s="337"/>
      <c r="AX176" s="337"/>
      <c r="AY176" s="337"/>
      <c r="AZ176" s="337"/>
      <c r="BA176" s="337"/>
      <c r="BB176" s="338"/>
      <c r="BC176" s="339"/>
      <c r="BD176" s="340"/>
      <c r="BE176" s="341"/>
    </row>
    <row r="177" spans="1:57" x14ac:dyDescent="0.3">
      <c r="A177" s="241" t="str">
        <f t="shared" si="2"/>
        <v/>
      </c>
      <c r="B177" s="371"/>
      <c r="C177" s="362"/>
      <c r="D177" s="363"/>
      <c r="E177" s="366"/>
      <c r="F177" s="329"/>
      <c r="G177" s="329"/>
      <c r="H177" s="329"/>
      <c r="I177" s="329"/>
      <c r="J177" s="329"/>
      <c r="K177" s="329"/>
      <c r="L177" s="329"/>
      <c r="M177" s="329"/>
      <c r="N177" s="329"/>
      <c r="O177" s="330"/>
      <c r="P177" s="330"/>
      <c r="Q177" s="331"/>
      <c r="R177" s="331"/>
      <c r="S177" s="331"/>
      <c r="T177" s="331"/>
      <c r="U177" s="331"/>
      <c r="V177" s="331"/>
      <c r="W177" s="331"/>
      <c r="X177" s="332"/>
      <c r="Y177" s="331"/>
      <c r="Z177" s="329"/>
      <c r="AA177" s="333"/>
      <c r="AB177" s="334"/>
      <c r="AC177" s="335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6"/>
      <c r="AP177" s="337"/>
      <c r="AQ177" s="337"/>
      <c r="AR177" s="337"/>
      <c r="AS177" s="337"/>
      <c r="AT177" s="337"/>
      <c r="AU177" s="337"/>
      <c r="AV177" s="337"/>
      <c r="AW177" s="337"/>
      <c r="AX177" s="337"/>
      <c r="AY177" s="337"/>
      <c r="AZ177" s="337"/>
      <c r="BA177" s="337"/>
      <c r="BB177" s="338"/>
      <c r="BC177" s="339"/>
      <c r="BD177" s="340"/>
      <c r="BE177" s="341"/>
    </row>
    <row r="178" spans="1:57" x14ac:dyDescent="0.3">
      <c r="A178" s="241" t="str">
        <f t="shared" si="2"/>
        <v/>
      </c>
      <c r="B178" s="364"/>
      <c r="C178" s="362"/>
      <c r="D178" s="363"/>
      <c r="E178" s="366"/>
      <c r="F178" s="329"/>
      <c r="G178" s="329"/>
      <c r="H178" s="329"/>
      <c r="I178" s="329"/>
      <c r="J178" s="329"/>
      <c r="K178" s="329"/>
      <c r="L178" s="329"/>
      <c r="M178" s="329"/>
      <c r="N178" s="329"/>
      <c r="O178" s="330"/>
      <c r="P178" s="330"/>
      <c r="Q178" s="331"/>
      <c r="R178" s="331"/>
      <c r="S178" s="331"/>
      <c r="T178" s="331"/>
      <c r="U178" s="331"/>
      <c r="V178" s="331"/>
      <c r="W178" s="331"/>
      <c r="X178" s="332"/>
      <c r="Y178" s="331"/>
      <c r="Z178" s="329"/>
      <c r="AA178" s="333"/>
      <c r="AB178" s="334"/>
      <c r="AC178" s="335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6"/>
      <c r="AP178" s="337"/>
      <c r="AQ178" s="337"/>
      <c r="AR178" s="337"/>
      <c r="AS178" s="337"/>
      <c r="AT178" s="337"/>
      <c r="AU178" s="337"/>
      <c r="AV178" s="337"/>
      <c r="AW178" s="337"/>
      <c r="AX178" s="337"/>
      <c r="AY178" s="337"/>
      <c r="AZ178" s="337"/>
      <c r="BA178" s="337"/>
      <c r="BB178" s="338"/>
      <c r="BC178" s="339"/>
      <c r="BD178" s="340"/>
      <c r="BE178" s="341"/>
    </row>
    <row r="179" spans="1:57" x14ac:dyDescent="0.3">
      <c r="A179" s="241" t="str">
        <f t="shared" si="2"/>
        <v/>
      </c>
      <c r="B179" s="371"/>
      <c r="C179" s="362"/>
      <c r="D179" s="363"/>
      <c r="E179" s="366"/>
      <c r="F179" s="347"/>
      <c r="G179" s="329"/>
      <c r="H179" s="329"/>
      <c r="I179" s="329"/>
      <c r="J179" s="329"/>
      <c r="K179" s="329"/>
      <c r="L179" s="329"/>
      <c r="M179" s="329"/>
      <c r="N179" s="329"/>
      <c r="O179" s="330"/>
      <c r="P179" s="330"/>
      <c r="Q179" s="331"/>
      <c r="R179" s="331"/>
      <c r="S179" s="331"/>
      <c r="T179" s="331"/>
      <c r="U179" s="331"/>
      <c r="V179" s="331"/>
      <c r="W179" s="331"/>
      <c r="X179" s="332"/>
      <c r="Y179" s="331"/>
      <c r="Z179" s="329"/>
      <c r="AA179" s="333"/>
      <c r="AB179" s="334"/>
      <c r="AC179" s="335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6"/>
      <c r="AP179" s="337"/>
      <c r="AQ179" s="337"/>
      <c r="AR179" s="337"/>
      <c r="AS179" s="337"/>
      <c r="AT179" s="337"/>
      <c r="AU179" s="337"/>
      <c r="AV179" s="337"/>
      <c r="AW179" s="337"/>
      <c r="AX179" s="337"/>
      <c r="AY179" s="337"/>
      <c r="AZ179" s="337"/>
      <c r="BA179" s="337"/>
      <c r="BB179" s="338"/>
      <c r="BC179" s="339"/>
      <c r="BD179" s="340"/>
      <c r="BE179" s="341"/>
    </row>
    <row r="180" spans="1:57" x14ac:dyDescent="0.3">
      <c r="A180" s="241" t="str">
        <f t="shared" si="2"/>
        <v/>
      </c>
      <c r="B180" s="364"/>
      <c r="C180" s="362"/>
      <c r="D180" s="363"/>
      <c r="E180" s="366"/>
      <c r="F180" s="329"/>
      <c r="G180" s="329"/>
      <c r="H180" s="329"/>
      <c r="I180" s="329"/>
      <c r="J180" s="329"/>
      <c r="K180" s="329"/>
      <c r="L180" s="329"/>
      <c r="M180" s="329"/>
      <c r="N180" s="329"/>
      <c r="O180" s="330"/>
      <c r="P180" s="330"/>
      <c r="Q180" s="331"/>
      <c r="R180" s="331"/>
      <c r="S180" s="331"/>
      <c r="T180" s="331"/>
      <c r="U180" s="331"/>
      <c r="V180" s="331"/>
      <c r="W180" s="331"/>
      <c r="X180" s="332"/>
      <c r="Y180" s="331"/>
      <c r="Z180" s="329"/>
      <c r="AA180" s="333"/>
      <c r="AB180" s="334"/>
      <c r="AC180" s="335"/>
      <c r="AD180" s="336"/>
      <c r="AE180" s="336"/>
      <c r="AF180" s="336"/>
      <c r="AG180" s="336"/>
      <c r="AH180" s="336"/>
      <c r="AI180" s="336"/>
      <c r="AJ180" s="336"/>
      <c r="AK180" s="336"/>
      <c r="AL180" s="336"/>
      <c r="AM180" s="336"/>
      <c r="AN180" s="336"/>
      <c r="AO180" s="336"/>
      <c r="AP180" s="337"/>
      <c r="AQ180" s="337"/>
      <c r="AR180" s="337"/>
      <c r="AS180" s="337"/>
      <c r="AT180" s="337"/>
      <c r="AU180" s="337"/>
      <c r="AV180" s="337"/>
      <c r="AW180" s="337"/>
      <c r="AX180" s="337"/>
      <c r="AY180" s="337"/>
      <c r="AZ180" s="337"/>
      <c r="BA180" s="337"/>
      <c r="BB180" s="338"/>
      <c r="BC180" s="339"/>
      <c r="BD180" s="340"/>
      <c r="BE180" s="341"/>
    </row>
    <row r="181" spans="1:57" x14ac:dyDescent="0.3">
      <c r="A181" s="241" t="str">
        <f t="shared" si="2"/>
        <v/>
      </c>
      <c r="B181" s="371"/>
      <c r="C181" s="362"/>
      <c r="D181" s="363"/>
      <c r="E181" s="366"/>
      <c r="F181" s="327"/>
      <c r="G181" s="329"/>
      <c r="H181" s="329"/>
      <c r="I181" s="329"/>
      <c r="J181" s="329"/>
      <c r="K181" s="329"/>
      <c r="L181" s="329"/>
      <c r="M181" s="329"/>
      <c r="N181" s="329"/>
      <c r="O181" s="330"/>
      <c r="P181" s="330"/>
      <c r="Q181" s="331"/>
      <c r="R181" s="331"/>
      <c r="S181" s="331"/>
      <c r="T181" s="331"/>
      <c r="U181" s="331"/>
      <c r="V181" s="331"/>
      <c r="W181" s="331"/>
      <c r="X181" s="332"/>
      <c r="Y181" s="331"/>
      <c r="Z181" s="329"/>
      <c r="AA181" s="333"/>
      <c r="AB181" s="334"/>
      <c r="AC181" s="335"/>
      <c r="AD181" s="336"/>
      <c r="AE181" s="336"/>
      <c r="AF181" s="336"/>
      <c r="AG181" s="336"/>
      <c r="AH181" s="336"/>
      <c r="AI181" s="336"/>
      <c r="AJ181" s="336"/>
      <c r="AK181" s="336"/>
      <c r="AL181" s="336"/>
      <c r="AM181" s="336"/>
      <c r="AN181" s="336"/>
      <c r="AO181" s="336"/>
      <c r="AP181" s="337"/>
      <c r="AQ181" s="337"/>
      <c r="AR181" s="337"/>
      <c r="AS181" s="337"/>
      <c r="AT181" s="337"/>
      <c r="AU181" s="337"/>
      <c r="AV181" s="337"/>
      <c r="AW181" s="337"/>
      <c r="AX181" s="337"/>
      <c r="AY181" s="337"/>
      <c r="AZ181" s="337"/>
      <c r="BA181" s="337"/>
      <c r="BB181" s="338"/>
      <c r="BC181" s="339"/>
      <c r="BD181" s="340"/>
      <c r="BE181" s="341"/>
    </row>
    <row r="182" spans="1:57" x14ac:dyDescent="0.3">
      <c r="A182" s="241" t="str">
        <f t="shared" si="2"/>
        <v/>
      </c>
      <c r="B182" s="371"/>
      <c r="C182" s="362"/>
      <c r="D182" s="363"/>
      <c r="E182" s="366"/>
      <c r="F182" s="327"/>
      <c r="G182" s="329"/>
      <c r="H182" s="329"/>
      <c r="I182" s="329"/>
      <c r="J182" s="329"/>
      <c r="K182" s="329"/>
      <c r="L182" s="329"/>
      <c r="M182" s="329"/>
      <c r="N182" s="329"/>
      <c r="O182" s="330"/>
      <c r="P182" s="330"/>
      <c r="Q182" s="331"/>
      <c r="R182" s="331"/>
      <c r="S182" s="331"/>
      <c r="T182" s="331"/>
      <c r="U182" s="331"/>
      <c r="V182" s="331"/>
      <c r="W182" s="331"/>
      <c r="X182" s="332"/>
      <c r="Y182" s="331"/>
      <c r="Z182" s="329"/>
      <c r="AA182" s="333"/>
      <c r="AB182" s="334"/>
      <c r="AC182" s="335"/>
      <c r="AD182" s="336"/>
      <c r="AE182" s="336"/>
      <c r="AF182" s="336"/>
      <c r="AG182" s="336"/>
      <c r="AH182" s="336"/>
      <c r="AI182" s="336"/>
      <c r="AJ182" s="336"/>
      <c r="AK182" s="336"/>
      <c r="AL182" s="336"/>
      <c r="AM182" s="336"/>
      <c r="AN182" s="336"/>
      <c r="AO182" s="336"/>
      <c r="AP182" s="337"/>
      <c r="AQ182" s="337"/>
      <c r="AR182" s="337"/>
      <c r="AS182" s="337"/>
      <c r="AT182" s="337"/>
      <c r="AU182" s="337"/>
      <c r="AV182" s="337"/>
      <c r="AW182" s="337"/>
      <c r="AX182" s="337"/>
      <c r="AY182" s="337"/>
      <c r="AZ182" s="337"/>
      <c r="BA182" s="337"/>
      <c r="BB182" s="338"/>
      <c r="BC182" s="339"/>
      <c r="BD182" s="340"/>
      <c r="BE182" s="341"/>
    </row>
    <row r="183" spans="1:57" x14ac:dyDescent="0.3">
      <c r="A183" s="241" t="str">
        <f t="shared" si="2"/>
        <v/>
      </c>
      <c r="B183" s="371"/>
      <c r="C183" s="362"/>
      <c r="D183" s="363"/>
      <c r="E183" s="366"/>
      <c r="F183" s="327"/>
      <c r="G183" s="329"/>
      <c r="H183" s="329"/>
      <c r="I183" s="329"/>
      <c r="J183" s="329"/>
      <c r="K183" s="329"/>
      <c r="L183" s="329"/>
      <c r="M183" s="329"/>
      <c r="N183" s="329"/>
      <c r="O183" s="330"/>
      <c r="P183" s="330"/>
      <c r="Q183" s="331"/>
      <c r="R183" s="331"/>
      <c r="S183" s="331"/>
      <c r="T183" s="331"/>
      <c r="U183" s="331"/>
      <c r="V183" s="331"/>
      <c r="W183" s="331"/>
      <c r="X183" s="332"/>
      <c r="Y183" s="331"/>
      <c r="Z183" s="329"/>
      <c r="AA183" s="333"/>
      <c r="AB183" s="334"/>
      <c r="AC183" s="335"/>
      <c r="AD183" s="336"/>
      <c r="AE183" s="336"/>
      <c r="AF183" s="336"/>
      <c r="AG183" s="336"/>
      <c r="AH183" s="336"/>
      <c r="AI183" s="336"/>
      <c r="AJ183" s="336"/>
      <c r="AK183" s="336"/>
      <c r="AL183" s="336"/>
      <c r="AM183" s="336"/>
      <c r="AN183" s="336"/>
      <c r="AO183" s="336"/>
      <c r="AP183" s="337"/>
      <c r="AQ183" s="337"/>
      <c r="AR183" s="337"/>
      <c r="AS183" s="337"/>
      <c r="AT183" s="337"/>
      <c r="AU183" s="337"/>
      <c r="AV183" s="337"/>
      <c r="AW183" s="337"/>
      <c r="AX183" s="337"/>
      <c r="AY183" s="337"/>
      <c r="AZ183" s="337"/>
      <c r="BA183" s="337"/>
      <c r="BB183" s="338"/>
      <c r="BC183" s="339"/>
      <c r="BD183" s="340"/>
      <c r="BE183" s="341"/>
    </row>
    <row r="184" spans="1:57" x14ac:dyDescent="0.3">
      <c r="A184" s="241" t="str">
        <f t="shared" si="2"/>
        <v/>
      </c>
      <c r="B184" s="364"/>
      <c r="C184" s="362"/>
      <c r="D184" s="363"/>
      <c r="E184" s="366"/>
      <c r="F184" s="347"/>
      <c r="G184" s="329"/>
      <c r="H184" s="329"/>
      <c r="I184" s="329"/>
      <c r="J184" s="329"/>
      <c r="K184" s="329"/>
      <c r="L184" s="329"/>
      <c r="M184" s="329"/>
      <c r="N184" s="329"/>
      <c r="O184" s="330"/>
      <c r="P184" s="330"/>
      <c r="Q184" s="331"/>
      <c r="R184" s="331"/>
      <c r="S184" s="331"/>
      <c r="T184" s="331"/>
      <c r="U184" s="331"/>
      <c r="V184" s="331"/>
      <c r="W184" s="331"/>
      <c r="X184" s="332"/>
      <c r="Y184" s="331"/>
      <c r="Z184" s="329"/>
      <c r="AA184" s="333"/>
      <c r="AB184" s="334"/>
      <c r="AC184" s="335"/>
      <c r="AD184" s="336"/>
      <c r="AE184" s="336"/>
      <c r="AF184" s="336"/>
      <c r="AG184" s="336"/>
      <c r="AH184" s="336"/>
      <c r="AI184" s="336"/>
      <c r="AJ184" s="336"/>
      <c r="AK184" s="336"/>
      <c r="AL184" s="336"/>
      <c r="AM184" s="336"/>
      <c r="AN184" s="336"/>
      <c r="AO184" s="336"/>
      <c r="AP184" s="337"/>
      <c r="AQ184" s="337"/>
      <c r="AR184" s="337"/>
      <c r="AS184" s="337"/>
      <c r="AT184" s="337"/>
      <c r="AU184" s="337"/>
      <c r="AV184" s="337"/>
      <c r="AW184" s="337"/>
      <c r="AX184" s="337"/>
      <c r="AY184" s="337"/>
      <c r="AZ184" s="337"/>
      <c r="BA184" s="337"/>
      <c r="BB184" s="338"/>
      <c r="BC184" s="339"/>
      <c r="BD184" s="340"/>
      <c r="BE184" s="341"/>
    </row>
    <row r="185" spans="1:57" x14ac:dyDescent="0.3">
      <c r="A185" s="241" t="str">
        <f t="shared" si="2"/>
        <v/>
      </c>
      <c r="B185" s="371"/>
      <c r="C185" s="362"/>
      <c r="D185" s="363"/>
      <c r="E185" s="366"/>
      <c r="F185" s="327"/>
      <c r="G185" s="329"/>
      <c r="H185" s="329"/>
      <c r="I185" s="329"/>
      <c r="J185" s="329"/>
      <c r="K185" s="329"/>
      <c r="L185" s="329"/>
      <c r="M185" s="329"/>
      <c r="N185" s="329"/>
      <c r="O185" s="330"/>
      <c r="P185" s="330"/>
      <c r="Q185" s="331"/>
      <c r="R185" s="331"/>
      <c r="S185" s="331"/>
      <c r="T185" s="331"/>
      <c r="U185" s="331"/>
      <c r="V185" s="331"/>
      <c r="W185" s="331"/>
      <c r="X185" s="332"/>
      <c r="Y185" s="331"/>
      <c r="Z185" s="329"/>
      <c r="AA185" s="333"/>
      <c r="AB185" s="334"/>
      <c r="AC185" s="335"/>
      <c r="AD185" s="336"/>
      <c r="AE185" s="336"/>
      <c r="AF185" s="336"/>
      <c r="AG185" s="336"/>
      <c r="AH185" s="336"/>
      <c r="AI185" s="336"/>
      <c r="AJ185" s="336"/>
      <c r="AK185" s="336"/>
      <c r="AL185" s="336"/>
      <c r="AM185" s="336"/>
      <c r="AN185" s="336"/>
      <c r="AO185" s="336"/>
      <c r="AP185" s="337"/>
      <c r="AQ185" s="337"/>
      <c r="AR185" s="337"/>
      <c r="AS185" s="337"/>
      <c r="AT185" s="337"/>
      <c r="AU185" s="337"/>
      <c r="AV185" s="337"/>
      <c r="AW185" s="337"/>
      <c r="AX185" s="337"/>
      <c r="AY185" s="337"/>
      <c r="AZ185" s="337"/>
      <c r="BA185" s="337"/>
      <c r="BB185" s="338"/>
      <c r="BC185" s="339"/>
      <c r="BD185" s="340"/>
      <c r="BE185" s="341"/>
    </row>
    <row r="186" spans="1:57" x14ac:dyDescent="0.3">
      <c r="A186" s="241" t="str">
        <f t="shared" si="2"/>
        <v/>
      </c>
      <c r="B186" s="371"/>
      <c r="C186" s="362"/>
      <c r="D186" s="363"/>
      <c r="E186" s="366"/>
      <c r="F186" s="327"/>
      <c r="G186" s="329"/>
      <c r="H186" s="329"/>
      <c r="I186" s="329"/>
      <c r="J186" s="329"/>
      <c r="K186" s="329"/>
      <c r="L186" s="329"/>
      <c r="M186" s="329"/>
      <c r="N186" s="329"/>
      <c r="O186" s="330"/>
      <c r="P186" s="330"/>
      <c r="Q186" s="331"/>
      <c r="R186" s="331"/>
      <c r="S186" s="331"/>
      <c r="T186" s="331"/>
      <c r="U186" s="331"/>
      <c r="V186" s="331"/>
      <c r="W186" s="331"/>
      <c r="X186" s="332"/>
      <c r="Y186" s="331"/>
      <c r="Z186" s="329"/>
      <c r="AA186" s="333"/>
      <c r="AB186" s="334"/>
      <c r="AC186" s="335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7"/>
      <c r="AQ186" s="337"/>
      <c r="AR186" s="337"/>
      <c r="AS186" s="337"/>
      <c r="AT186" s="337"/>
      <c r="AU186" s="337"/>
      <c r="AV186" s="337"/>
      <c r="AW186" s="337"/>
      <c r="AX186" s="337"/>
      <c r="AY186" s="337"/>
      <c r="AZ186" s="337"/>
      <c r="BA186" s="337"/>
      <c r="BB186" s="338"/>
      <c r="BC186" s="339"/>
      <c r="BD186" s="340"/>
      <c r="BE186" s="341"/>
    </row>
    <row r="187" spans="1:57" x14ac:dyDescent="0.3">
      <c r="A187" s="241" t="str">
        <f t="shared" si="2"/>
        <v/>
      </c>
      <c r="B187" s="371"/>
      <c r="C187" s="362"/>
      <c r="D187" s="363"/>
      <c r="E187" s="366"/>
      <c r="F187" s="327"/>
      <c r="G187" s="329"/>
      <c r="H187" s="329"/>
      <c r="I187" s="329"/>
      <c r="J187" s="329"/>
      <c r="K187" s="329"/>
      <c r="L187" s="329"/>
      <c r="M187" s="329"/>
      <c r="N187" s="329"/>
      <c r="O187" s="330"/>
      <c r="P187" s="330"/>
      <c r="Q187" s="331"/>
      <c r="R187" s="331"/>
      <c r="S187" s="331"/>
      <c r="T187" s="331"/>
      <c r="U187" s="331"/>
      <c r="V187" s="331"/>
      <c r="W187" s="331"/>
      <c r="X187" s="332"/>
      <c r="Y187" s="331"/>
      <c r="Z187" s="329"/>
      <c r="AA187" s="333"/>
      <c r="AB187" s="334"/>
      <c r="AC187" s="335"/>
      <c r="AD187" s="336"/>
      <c r="AE187" s="336"/>
      <c r="AF187" s="336"/>
      <c r="AG187" s="336"/>
      <c r="AH187" s="336"/>
      <c r="AI187" s="336"/>
      <c r="AJ187" s="336"/>
      <c r="AK187" s="336"/>
      <c r="AL187" s="336"/>
      <c r="AM187" s="336"/>
      <c r="AN187" s="336"/>
      <c r="AO187" s="336"/>
      <c r="AP187" s="337"/>
      <c r="AQ187" s="337"/>
      <c r="AR187" s="337"/>
      <c r="AS187" s="337"/>
      <c r="AT187" s="337"/>
      <c r="AU187" s="337"/>
      <c r="AV187" s="337"/>
      <c r="AW187" s="337"/>
      <c r="AX187" s="337"/>
      <c r="AY187" s="337"/>
      <c r="AZ187" s="337"/>
      <c r="BA187" s="337"/>
      <c r="BB187" s="338"/>
      <c r="BC187" s="339"/>
      <c r="BD187" s="340"/>
      <c r="BE187" s="341"/>
    </row>
    <row r="188" spans="1:57" x14ac:dyDescent="0.3">
      <c r="A188" s="241" t="str">
        <f t="shared" si="2"/>
        <v/>
      </c>
      <c r="B188" s="364"/>
      <c r="C188" s="362"/>
      <c r="D188" s="363"/>
      <c r="E188" s="366"/>
      <c r="F188" s="329"/>
      <c r="G188" s="329"/>
      <c r="H188" s="329"/>
      <c r="I188" s="329"/>
      <c r="J188" s="329"/>
      <c r="K188" s="329"/>
      <c r="L188" s="329"/>
      <c r="M188" s="329"/>
      <c r="N188" s="329"/>
      <c r="O188" s="330"/>
      <c r="P188" s="330"/>
      <c r="Q188" s="331"/>
      <c r="R188" s="331"/>
      <c r="S188" s="331"/>
      <c r="T188" s="331"/>
      <c r="U188" s="331"/>
      <c r="V188" s="331"/>
      <c r="W188" s="331"/>
      <c r="X188" s="332"/>
      <c r="Y188" s="331"/>
      <c r="Z188" s="329"/>
      <c r="AA188" s="333"/>
      <c r="AB188" s="334"/>
      <c r="AC188" s="335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6"/>
      <c r="AP188" s="337"/>
      <c r="AQ188" s="337"/>
      <c r="AR188" s="337"/>
      <c r="AS188" s="337"/>
      <c r="AT188" s="337"/>
      <c r="AU188" s="337"/>
      <c r="AV188" s="337"/>
      <c r="AW188" s="337"/>
      <c r="AX188" s="337"/>
      <c r="AY188" s="337"/>
      <c r="AZ188" s="337"/>
      <c r="BA188" s="337"/>
      <c r="BB188" s="338"/>
      <c r="BC188" s="339"/>
      <c r="BD188" s="340"/>
      <c r="BE188" s="341"/>
    </row>
    <row r="189" spans="1:57" x14ac:dyDescent="0.3">
      <c r="A189" s="241" t="str">
        <f t="shared" si="2"/>
        <v/>
      </c>
      <c r="B189" s="375"/>
      <c r="C189" s="362"/>
      <c r="D189" s="363"/>
      <c r="E189" s="366"/>
      <c r="F189" s="327"/>
      <c r="G189" s="329"/>
      <c r="H189" s="329"/>
      <c r="I189" s="329"/>
      <c r="J189" s="329"/>
      <c r="K189" s="329"/>
      <c r="L189" s="329"/>
      <c r="M189" s="329"/>
      <c r="N189" s="329"/>
      <c r="O189" s="330"/>
      <c r="P189" s="330"/>
      <c r="Q189" s="331"/>
      <c r="R189" s="331"/>
      <c r="S189" s="331"/>
      <c r="T189" s="331"/>
      <c r="U189" s="331"/>
      <c r="V189" s="331"/>
      <c r="W189" s="331"/>
      <c r="X189" s="332"/>
      <c r="Y189" s="331"/>
      <c r="Z189" s="329"/>
      <c r="AA189" s="333"/>
      <c r="AB189" s="334"/>
      <c r="AC189" s="335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6"/>
      <c r="AP189" s="337"/>
      <c r="AQ189" s="337"/>
      <c r="AR189" s="337"/>
      <c r="AS189" s="337"/>
      <c r="AT189" s="337"/>
      <c r="AU189" s="337"/>
      <c r="AV189" s="337"/>
      <c r="AW189" s="337"/>
      <c r="AX189" s="337"/>
      <c r="AY189" s="337"/>
      <c r="AZ189" s="337"/>
      <c r="BA189" s="337"/>
      <c r="BB189" s="338"/>
      <c r="BC189" s="339"/>
      <c r="BD189" s="340"/>
      <c r="BE189" s="341"/>
    </row>
    <row r="190" spans="1:57" x14ac:dyDescent="0.3">
      <c r="A190" s="241" t="str">
        <f t="shared" si="2"/>
        <v/>
      </c>
      <c r="B190" s="364"/>
      <c r="C190" s="362"/>
      <c r="D190" s="363"/>
      <c r="E190" s="366"/>
      <c r="F190" s="327"/>
      <c r="G190" s="329"/>
      <c r="H190" s="329"/>
      <c r="I190" s="329"/>
      <c r="J190" s="329"/>
      <c r="K190" s="329"/>
      <c r="L190" s="329"/>
      <c r="M190" s="329"/>
      <c r="N190" s="329"/>
      <c r="O190" s="330"/>
      <c r="P190" s="330"/>
      <c r="Q190" s="331"/>
      <c r="R190" s="331"/>
      <c r="S190" s="331"/>
      <c r="T190" s="331"/>
      <c r="U190" s="331"/>
      <c r="V190" s="331"/>
      <c r="W190" s="331"/>
      <c r="X190" s="332"/>
      <c r="Y190" s="331"/>
      <c r="Z190" s="329"/>
      <c r="AA190" s="333"/>
      <c r="AB190" s="334"/>
      <c r="AC190" s="335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6"/>
      <c r="AP190" s="337"/>
      <c r="AQ190" s="337"/>
      <c r="AR190" s="337"/>
      <c r="AS190" s="337"/>
      <c r="AT190" s="337"/>
      <c r="AU190" s="337"/>
      <c r="AV190" s="337"/>
      <c r="AW190" s="337"/>
      <c r="AX190" s="337"/>
      <c r="AY190" s="337"/>
      <c r="AZ190" s="337"/>
      <c r="BA190" s="337"/>
      <c r="BB190" s="338"/>
      <c r="BC190" s="339"/>
      <c r="BD190" s="340"/>
      <c r="BE190" s="341"/>
    </row>
    <row r="191" spans="1:57" x14ac:dyDescent="0.3">
      <c r="A191" s="241" t="str">
        <f t="shared" si="2"/>
        <v/>
      </c>
      <c r="B191" s="371"/>
      <c r="C191" s="362"/>
      <c r="D191" s="363"/>
      <c r="E191" s="366"/>
      <c r="F191" s="327"/>
      <c r="G191" s="329"/>
      <c r="H191" s="329"/>
      <c r="I191" s="329"/>
      <c r="J191" s="329"/>
      <c r="K191" s="329"/>
      <c r="L191" s="329"/>
      <c r="M191" s="329"/>
      <c r="N191" s="329"/>
      <c r="O191" s="330"/>
      <c r="P191" s="330"/>
      <c r="Q191" s="331"/>
      <c r="R191" s="331"/>
      <c r="S191" s="331"/>
      <c r="T191" s="331"/>
      <c r="U191" s="331"/>
      <c r="V191" s="331"/>
      <c r="W191" s="331"/>
      <c r="X191" s="332"/>
      <c r="Y191" s="331"/>
      <c r="Z191" s="329"/>
      <c r="AA191" s="333"/>
      <c r="AB191" s="334"/>
      <c r="AC191" s="335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6"/>
      <c r="AP191" s="337"/>
      <c r="AQ191" s="337"/>
      <c r="AR191" s="337"/>
      <c r="AS191" s="337"/>
      <c r="AT191" s="337"/>
      <c r="AU191" s="337"/>
      <c r="AV191" s="337"/>
      <c r="AW191" s="337"/>
      <c r="AX191" s="337"/>
      <c r="AY191" s="337"/>
      <c r="AZ191" s="337"/>
      <c r="BA191" s="337"/>
      <c r="BB191" s="338"/>
      <c r="BC191" s="339"/>
      <c r="BD191" s="340"/>
      <c r="BE191" s="341"/>
    </row>
    <row r="192" spans="1:57" x14ac:dyDescent="0.3">
      <c r="A192" s="241" t="str">
        <f t="shared" si="2"/>
        <v/>
      </c>
      <c r="B192" s="375"/>
      <c r="C192" s="362"/>
      <c r="D192" s="363"/>
      <c r="E192" s="366"/>
      <c r="F192" s="347"/>
      <c r="G192" s="329"/>
      <c r="H192" s="329"/>
      <c r="I192" s="329"/>
      <c r="J192" s="329"/>
      <c r="K192" s="329"/>
      <c r="L192" s="329"/>
      <c r="M192" s="329"/>
      <c r="N192" s="329"/>
      <c r="O192" s="330"/>
      <c r="P192" s="330"/>
      <c r="Q192" s="331"/>
      <c r="R192" s="331"/>
      <c r="S192" s="331"/>
      <c r="T192" s="331"/>
      <c r="U192" s="331"/>
      <c r="V192" s="331"/>
      <c r="W192" s="331"/>
      <c r="X192" s="332"/>
      <c r="Y192" s="331"/>
      <c r="Z192" s="329"/>
      <c r="AA192" s="333"/>
      <c r="AB192" s="334"/>
      <c r="AC192" s="335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6"/>
      <c r="AP192" s="337"/>
      <c r="AQ192" s="337"/>
      <c r="AR192" s="337"/>
      <c r="AS192" s="337"/>
      <c r="AT192" s="337"/>
      <c r="AU192" s="337"/>
      <c r="AV192" s="337"/>
      <c r="AW192" s="337"/>
      <c r="AX192" s="337"/>
      <c r="AY192" s="337"/>
      <c r="AZ192" s="337"/>
      <c r="BA192" s="337"/>
      <c r="BB192" s="338"/>
      <c r="BC192" s="339"/>
      <c r="BD192" s="340"/>
      <c r="BE192" s="341"/>
    </row>
    <row r="193" spans="1:57" x14ac:dyDescent="0.3">
      <c r="A193" s="241" t="str">
        <f t="shared" si="2"/>
        <v/>
      </c>
      <c r="B193" s="371"/>
      <c r="C193" s="362"/>
      <c r="D193" s="363"/>
      <c r="E193" s="366"/>
      <c r="F193" s="327"/>
      <c r="G193" s="329"/>
      <c r="H193" s="329"/>
      <c r="I193" s="329"/>
      <c r="J193" s="329"/>
      <c r="K193" s="329"/>
      <c r="L193" s="329"/>
      <c r="M193" s="329"/>
      <c r="N193" s="329"/>
      <c r="O193" s="330"/>
      <c r="P193" s="330"/>
      <c r="Q193" s="331"/>
      <c r="R193" s="331"/>
      <c r="S193" s="331"/>
      <c r="T193" s="331"/>
      <c r="U193" s="331"/>
      <c r="V193" s="331"/>
      <c r="W193" s="331"/>
      <c r="X193" s="332"/>
      <c r="Y193" s="331"/>
      <c r="Z193" s="329"/>
      <c r="AA193" s="333"/>
      <c r="AB193" s="334"/>
      <c r="AC193" s="335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6"/>
      <c r="AP193" s="337"/>
      <c r="AQ193" s="337"/>
      <c r="AR193" s="337"/>
      <c r="AS193" s="337"/>
      <c r="AT193" s="337"/>
      <c r="AU193" s="337"/>
      <c r="AV193" s="337"/>
      <c r="AW193" s="337"/>
      <c r="AX193" s="337"/>
      <c r="AY193" s="337"/>
      <c r="AZ193" s="337"/>
      <c r="BA193" s="337"/>
      <c r="BB193" s="338"/>
      <c r="BC193" s="339"/>
      <c r="BD193" s="340"/>
      <c r="BE193" s="341"/>
    </row>
    <row r="194" spans="1:57" x14ac:dyDescent="0.3">
      <c r="A194" s="241" t="str">
        <f t="shared" ref="A194:A203" si="3">CONCATENATE(B194,C194)</f>
        <v/>
      </c>
      <c r="B194" s="371"/>
      <c r="C194" s="362"/>
      <c r="D194" s="363"/>
      <c r="E194" s="366"/>
      <c r="F194" s="327"/>
      <c r="G194" s="329"/>
      <c r="H194" s="329"/>
      <c r="I194" s="329"/>
      <c r="J194" s="329"/>
      <c r="K194" s="329"/>
      <c r="L194" s="329"/>
      <c r="M194" s="329"/>
      <c r="N194" s="329"/>
      <c r="O194" s="330"/>
      <c r="P194" s="330"/>
      <c r="Q194" s="331"/>
      <c r="R194" s="331"/>
      <c r="S194" s="331"/>
      <c r="T194" s="331"/>
      <c r="U194" s="331"/>
      <c r="V194" s="331"/>
      <c r="W194" s="331"/>
      <c r="X194" s="332"/>
      <c r="Y194" s="331"/>
      <c r="Z194" s="329"/>
      <c r="AA194" s="333"/>
      <c r="AB194" s="334"/>
      <c r="AC194" s="335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6"/>
      <c r="AP194" s="337"/>
      <c r="AQ194" s="337"/>
      <c r="AR194" s="337"/>
      <c r="AS194" s="337"/>
      <c r="AT194" s="337"/>
      <c r="AU194" s="337"/>
      <c r="AV194" s="337"/>
      <c r="AW194" s="337"/>
      <c r="AX194" s="337"/>
      <c r="AY194" s="337"/>
      <c r="AZ194" s="337"/>
      <c r="BA194" s="337"/>
      <c r="BB194" s="338"/>
      <c r="BC194" s="339"/>
      <c r="BD194" s="340"/>
      <c r="BE194" s="341"/>
    </row>
    <row r="195" spans="1:57" x14ac:dyDescent="0.3">
      <c r="A195" s="241" t="str">
        <f t="shared" si="3"/>
        <v/>
      </c>
      <c r="B195" s="364"/>
      <c r="C195" s="362"/>
      <c r="D195" s="363"/>
      <c r="E195" s="366"/>
      <c r="F195" s="329"/>
      <c r="G195" s="329"/>
      <c r="H195" s="329"/>
      <c r="I195" s="329"/>
      <c r="J195" s="329"/>
      <c r="K195" s="329"/>
      <c r="L195" s="329"/>
      <c r="M195" s="329"/>
      <c r="N195" s="329"/>
      <c r="O195" s="330"/>
      <c r="P195" s="330"/>
      <c r="Q195" s="331"/>
      <c r="R195" s="331"/>
      <c r="S195" s="331"/>
      <c r="T195" s="331"/>
      <c r="U195" s="331"/>
      <c r="V195" s="331"/>
      <c r="W195" s="331"/>
      <c r="X195" s="332"/>
      <c r="Y195" s="331"/>
      <c r="Z195" s="329"/>
      <c r="AA195" s="333"/>
      <c r="AB195" s="334"/>
      <c r="AC195" s="335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6"/>
      <c r="AP195" s="337"/>
      <c r="AQ195" s="337"/>
      <c r="AR195" s="337"/>
      <c r="AS195" s="337"/>
      <c r="AT195" s="337"/>
      <c r="AU195" s="337"/>
      <c r="AV195" s="337"/>
      <c r="AW195" s="337"/>
      <c r="AX195" s="337"/>
      <c r="AY195" s="337"/>
      <c r="AZ195" s="337"/>
      <c r="BA195" s="337"/>
      <c r="BB195" s="338"/>
      <c r="BC195" s="339"/>
      <c r="BD195" s="340"/>
      <c r="BE195" s="341"/>
    </row>
    <row r="196" spans="1:57" x14ac:dyDescent="0.3">
      <c r="A196" s="241" t="str">
        <f t="shared" si="3"/>
        <v/>
      </c>
      <c r="B196" s="371"/>
      <c r="C196" s="362"/>
      <c r="D196" s="363"/>
      <c r="E196" s="366"/>
      <c r="F196" s="347"/>
      <c r="G196" s="329"/>
      <c r="H196" s="329"/>
      <c r="I196" s="329"/>
      <c r="J196" s="329"/>
      <c r="K196" s="329"/>
      <c r="L196" s="329"/>
      <c r="M196" s="329"/>
      <c r="N196" s="329"/>
      <c r="O196" s="330"/>
      <c r="P196" s="330"/>
      <c r="Q196" s="331"/>
      <c r="R196" s="331"/>
      <c r="S196" s="331"/>
      <c r="T196" s="331"/>
      <c r="U196" s="331"/>
      <c r="V196" s="331"/>
      <c r="W196" s="331"/>
      <c r="X196" s="332"/>
      <c r="Y196" s="331"/>
      <c r="Z196" s="329"/>
      <c r="AA196" s="333"/>
      <c r="AB196" s="334"/>
      <c r="AC196" s="335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6"/>
      <c r="AP196" s="337"/>
      <c r="AQ196" s="337"/>
      <c r="AR196" s="337"/>
      <c r="AS196" s="337"/>
      <c r="AT196" s="337"/>
      <c r="AU196" s="337"/>
      <c r="AV196" s="337"/>
      <c r="AW196" s="337"/>
      <c r="AX196" s="337"/>
      <c r="AY196" s="337"/>
      <c r="AZ196" s="337"/>
      <c r="BA196" s="337"/>
      <c r="BB196" s="338"/>
      <c r="BC196" s="339"/>
      <c r="BD196" s="340"/>
      <c r="BE196" s="341"/>
    </row>
    <row r="197" spans="1:57" x14ac:dyDescent="0.3">
      <c r="A197" s="241" t="str">
        <f t="shared" si="3"/>
        <v/>
      </c>
      <c r="B197" s="364"/>
      <c r="C197" s="362"/>
      <c r="D197" s="363"/>
      <c r="E197" s="366"/>
      <c r="F197" s="327"/>
      <c r="G197" s="329"/>
      <c r="H197" s="329"/>
      <c r="I197" s="329"/>
      <c r="J197" s="329"/>
      <c r="K197" s="329"/>
      <c r="L197" s="329"/>
      <c r="M197" s="329"/>
      <c r="N197" s="329"/>
      <c r="O197" s="330"/>
      <c r="P197" s="330"/>
      <c r="Q197" s="331"/>
      <c r="R197" s="331"/>
      <c r="S197" s="331"/>
      <c r="T197" s="331"/>
      <c r="U197" s="331"/>
      <c r="V197" s="331"/>
      <c r="W197" s="331"/>
      <c r="X197" s="332"/>
      <c r="Y197" s="331"/>
      <c r="Z197" s="329"/>
      <c r="AA197" s="333"/>
      <c r="AB197" s="334"/>
      <c r="AC197" s="335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6"/>
      <c r="AP197" s="337"/>
      <c r="AQ197" s="337"/>
      <c r="AR197" s="337"/>
      <c r="AS197" s="337"/>
      <c r="AT197" s="337"/>
      <c r="AU197" s="337"/>
      <c r="AV197" s="337"/>
      <c r="AW197" s="337"/>
      <c r="AX197" s="337"/>
      <c r="AY197" s="337"/>
      <c r="AZ197" s="337"/>
      <c r="BA197" s="337"/>
      <c r="BB197" s="338"/>
      <c r="BC197" s="339"/>
      <c r="BD197" s="340"/>
      <c r="BE197" s="341"/>
    </row>
    <row r="198" spans="1:57" x14ac:dyDescent="0.3">
      <c r="A198" s="241" t="str">
        <f t="shared" si="3"/>
        <v/>
      </c>
      <c r="B198" s="371"/>
      <c r="C198" s="362"/>
      <c r="D198" s="363"/>
      <c r="E198" s="366"/>
      <c r="F198" s="347"/>
      <c r="G198" s="329"/>
      <c r="H198" s="329"/>
      <c r="I198" s="329"/>
      <c r="J198" s="329"/>
      <c r="K198" s="329"/>
      <c r="L198" s="329"/>
      <c r="M198" s="329"/>
      <c r="N198" s="329"/>
      <c r="O198" s="330"/>
      <c r="P198" s="330"/>
      <c r="Q198" s="331"/>
      <c r="R198" s="331"/>
      <c r="S198" s="331"/>
      <c r="T198" s="331"/>
      <c r="U198" s="331"/>
      <c r="V198" s="331"/>
      <c r="W198" s="331"/>
      <c r="X198" s="332"/>
      <c r="Y198" s="331"/>
      <c r="Z198" s="329"/>
      <c r="AA198" s="333"/>
      <c r="AB198" s="334"/>
      <c r="AC198" s="335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6"/>
      <c r="AP198" s="337"/>
      <c r="AQ198" s="337"/>
      <c r="AR198" s="337"/>
      <c r="AS198" s="337"/>
      <c r="AT198" s="337"/>
      <c r="AU198" s="337"/>
      <c r="AV198" s="337"/>
      <c r="AW198" s="337"/>
      <c r="AX198" s="337"/>
      <c r="AY198" s="337"/>
      <c r="AZ198" s="337"/>
      <c r="BA198" s="337"/>
      <c r="BB198" s="338"/>
      <c r="BC198" s="339"/>
      <c r="BD198" s="340"/>
      <c r="BE198" s="341"/>
    </row>
    <row r="199" spans="1:57" x14ac:dyDescent="0.3">
      <c r="A199" s="241" t="str">
        <f t="shared" si="3"/>
        <v/>
      </c>
      <c r="B199" s="364"/>
      <c r="C199" s="362"/>
      <c r="D199" s="363"/>
      <c r="E199" s="366"/>
      <c r="F199" s="327"/>
      <c r="G199" s="329"/>
      <c r="H199" s="329"/>
      <c r="I199" s="329"/>
      <c r="J199" s="329"/>
      <c r="K199" s="329"/>
      <c r="L199" s="329"/>
      <c r="M199" s="329"/>
      <c r="N199" s="329"/>
      <c r="O199" s="330"/>
      <c r="P199" s="330"/>
      <c r="Q199" s="331"/>
      <c r="R199" s="331"/>
      <c r="S199" s="331"/>
      <c r="T199" s="331"/>
      <c r="U199" s="331"/>
      <c r="V199" s="331"/>
      <c r="W199" s="331"/>
      <c r="X199" s="332"/>
      <c r="Y199" s="331"/>
      <c r="Z199" s="329"/>
      <c r="AA199" s="333"/>
      <c r="AB199" s="334"/>
      <c r="AC199" s="335"/>
      <c r="AD199" s="336"/>
      <c r="AE199" s="336"/>
      <c r="AF199" s="336"/>
      <c r="AG199" s="336"/>
      <c r="AH199" s="336"/>
      <c r="AI199" s="336"/>
      <c r="AJ199" s="336"/>
      <c r="AK199" s="336"/>
      <c r="AL199" s="336"/>
      <c r="AM199" s="336"/>
      <c r="AN199" s="336"/>
      <c r="AO199" s="336"/>
      <c r="AP199" s="337"/>
      <c r="AQ199" s="337"/>
      <c r="AR199" s="337"/>
      <c r="AS199" s="337"/>
      <c r="AT199" s="337"/>
      <c r="AU199" s="337"/>
      <c r="AV199" s="337"/>
      <c r="AW199" s="337"/>
      <c r="AX199" s="337"/>
      <c r="AY199" s="337"/>
      <c r="AZ199" s="337"/>
      <c r="BA199" s="337"/>
      <c r="BB199" s="338"/>
      <c r="BC199" s="339"/>
      <c r="BD199" s="340"/>
      <c r="BE199" s="341"/>
    </row>
    <row r="200" spans="1:57" x14ac:dyDescent="0.3">
      <c r="A200" s="241" t="str">
        <f t="shared" si="3"/>
        <v/>
      </c>
      <c r="B200" s="364"/>
      <c r="C200" s="362"/>
      <c r="D200" s="363"/>
      <c r="E200" s="366"/>
      <c r="F200" s="327"/>
      <c r="G200" s="329"/>
      <c r="H200" s="329"/>
      <c r="I200" s="329"/>
      <c r="J200" s="329"/>
      <c r="K200" s="329"/>
      <c r="L200" s="329"/>
      <c r="M200" s="329"/>
      <c r="N200" s="329"/>
      <c r="O200" s="330"/>
      <c r="P200" s="330"/>
      <c r="Q200" s="331"/>
      <c r="R200" s="331"/>
      <c r="S200" s="331"/>
      <c r="T200" s="331"/>
      <c r="U200" s="331"/>
      <c r="V200" s="331"/>
      <c r="W200" s="331"/>
      <c r="X200" s="332"/>
      <c r="Y200" s="331"/>
      <c r="Z200" s="329"/>
      <c r="AA200" s="333"/>
      <c r="AB200" s="334"/>
      <c r="AC200" s="335"/>
      <c r="AD200" s="336"/>
      <c r="AE200" s="336"/>
      <c r="AF200" s="336"/>
      <c r="AG200" s="336"/>
      <c r="AH200" s="336"/>
      <c r="AI200" s="336"/>
      <c r="AJ200" s="336"/>
      <c r="AK200" s="336"/>
      <c r="AL200" s="336"/>
      <c r="AM200" s="336"/>
      <c r="AN200" s="336"/>
      <c r="AO200" s="336"/>
      <c r="AP200" s="337"/>
      <c r="AQ200" s="337"/>
      <c r="AR200" s="337"/>
      <c r="AS200" s="337"/>
      <c r="AT200" s="337"/>
      <c r="AU200" s="337"/>
      <c r="AV200" s="337"/>
      <c r="AW200" s="337"/>
      <c r="AX200" s="337"/>
      <c r="AY200" s="337"/>
      <c r="AZ200" s="337"/>
      <c r="BA200" s="337"/>
      <c r="BB200" s="338"/>
      <c r="BC200" s="339"/>
      <c r="BD200" s="340"/>
      <c r="BE200" s="341"/>
    </row>
    <row r="201" spans="1:57" x14ac:dyDescent="0.3">
      <c r="A201" s="241" t="str">
        <f t="shared" si="3"/>
        <v/>
      </c>
      <c r="B201" s="371"/>
      <c r="C201" s="362"/>
      <c r="D201" s="363"/>
      <c r="E201" s="366"/>
      <c r="F201" s="327"/>
      <c r="G201" s="329"/>
      <c r="H201" s="329"/>
      <c r="I201" s="329"/>
      <c r="J201" s="329"/>
      <c r="K201" s="329"/>
      <c r="L201" s="329"/>
      <c r="M201" s="329"/>
      <c r="N201" s="329"/>
      <c r="O201" s="330"/>
      <c r="P201" s="330"/>
      <c r="Q201" s="331"/>
      <c r="R201" s="331"/>
      <c r="S201" s="331"/>
      <c r="T201" s="331"/>
      <c r="U201" s="331"/>
      <c r="V201" s="331"/>
      <c r="W201" s="331"/>
      <c r="X201" s="332"/>
      <c r="Y201" s="331"/>
      <c r="Z201" s="329"/>
      <c r="AA201" s="333"/>
      <c r="AB201" s="334"/>
      <c r="AC201" s="335"/>
      <c r="AD201" s="336"/>
      <c r="AE201" s="336"/>
      <c r="AF201" s="336"/>
      <c r="AG201" s="336"/>
      <c r="AH201" s="336"/>
      <c r="AI201" s="336"/>
      <c r="AJ201" s="336"/>
      <c r="AK201" s="336"/>
      <c r="AL201" s="336"/>
      <c r="AM201" s="336"/>
      <c r="AN201" s="336"/>
      <c r="AO201" s="336"/>
      <c r="AP201" s="337"/>
      <c r="AQ201" s="337"/>
      <c r="AR201" s="337"/>
      <c r="AS201" s="337"/>
      <c r="AT201" s="337"/>
      <c r="AU201" s="337"/>
      <c r="AV201" s="337"/>
      <c r="AW201" s="337"/>
      <c r="AX201" s="337"/>
      <c r="AY201" s="337"/>
      <c r="AZ201" s="337"/>
      <c r="BA201" s="337"/>
      <c r="BB201" s="338"/>
      <c r="BC201" s="339"/>
      <c r="BD201" s="340"/>
      <c r="BE201" s="341"/>
    </row>
    <row r="202" spans="1:57" x14ac:dyDescent="0.3">
      <c r="A202" s="241" t="str">
        <f t="shared" si="3"/>
        <v/>
      </c>
      <c r="B202" s="371"/>
      <c r="C202" s="362"/>
      <c r="D202" s="363"/>
      <c r="E202" s="366"/>
      <c r="F202" s="327"/>
      <c r="G202" s="329"/>
      <c r="H202" s="329"/>
      <c r="I202" s="329"/>
      <c r="J202" s="329"/>
      <c r="K202" s="329"/>
      <c r="L202" s="329"/>
      <c r="M202" s="329"/>
      <c r="N202" s="329"/>
      <c r="O202" s="330"/>
      <c r="P202" s="330"/>
      <c r="Q202" s="331"/>
      <c r="R202" s="331"/>
      <c r="S202" s="331"/>
      <c r="T202" s="331"/>
      <c r="U202" s="331"/>
      <c r="V202" s="331"/>
      <c r="W202" s="331"/>
      <c r="X202" s="332"/>
      <c r="Y202" s="331"/>
      <c r="Z202" s="329"/>
      <c r="AA202" s="333"/>
      <c r="AB202" s="334"/>
      <c r="AC202" s="335"/>
      <c r="AD202" s="336"/>
      <c r="AE202" s="336"/>
      <c r="AF202" s="336"/>
      <c r="AG202" s="336"/>
      <c r="AH202" s="336"/>
      <c r="AI202" s="336"/>
      <c r="AJ202" s="336"/>
      <c r="AK202" s="336"/>
      <c r="AL202" s="336"/>
      <c r="AM202" s="336"/>
      <c r="AN202" s="336"/>
      <c r="AO202" s="336"/>
      <c r="AP202" s="337"/>
      <c r="AQ202" s="337"/>
      <c r="AR202" s="337"/>
      <c r="AS202" s="337"/>
      <c r="AT202" s="337"/>
      <c r="AU202" s="337"/>
      <c r="AV202" s="337"/>
      <c r="AW202" s="337"/>
      <c r="AX202" s="337"/>
      <c r="AY202" s="337"/>
      <c r="AZ202" s="337"/>
      <c r="BA202" s="337"/>
      <c r="BB202" s="338"/>
      <c r="BC202" s="339"/>
      <c r="BD202" s="340"/>
      <c r="BE202" s="341"/>
    </row>
    <row r="203" spans="1:57" x14ac:dyDescent="0.3">
      <c r="A203" s="241" t="str">
        <f t="shared" si="3"/>
        <v/>
      </c>
      <c r="B203" s="371"/>
      <c r="C203" s="362"/>
      <c r="D203" s="363"/>
      <c r="E203" s="366"/>
      <c r="F203" s="327"/>
      <c r="G203" s="329"/>
      <c r="H203" s="329"/>
      <c r="I203" s="329"/>
      <c r="J203" s="329"/>
      <c r="K203" s="329"/>
      <c r="L203" s="329"/>
      <c r="M203" s="329"/>
      <c r="N203" s="329"/>
      <c r="O203" s="330"/>
      <c r="P203" s="330"/>
      <c r="Q203" s="331"/>
      <c r="R203" s="331"/>
      <c r="S203" s="331"/>
      <c r="T203" s="331"/>
      <c r="U203" s="331"/>
      <c r="V203" s="331"/>
      <c r="W203" s="331"/>
      <c r="X203" s="332"/>
      <c r="Y203" s="331"/>
      <c r="Z203" s="329"/>
      <c r="AA203" s="333"/>
      <c r="AB203" s="334"/>
      <c r="AC203" s="335"/>
      <c r="AD203" s="336"/>
      <c r="AE203" s="336"/>
      <c r="AF203" s="336"/>
      <c r="AG203" s="336"/>
      <c r="AH203" s="336"/>
      <c r="AI203" s="336"/>
      <c r="AJ203" s="336"/>
      <c r="AK203" s="336"/>
      <c r="AL203" s="336"/>
      <c r="AM203" s="336"/>
      <c r="AN203" s="336"/>
      <c r="AO203" s="336"/>
      <c r="AP203" s="337"/>
      <c r="AQ203" s="337"/>
      <c r="AR203" s="337"/>
      <c r="AS203" s="337"/>
      <c r="AT203" s="337"/>
      <c r="AU203" s="337"/>
      <c r="AV203" s="337"/>
      <c r="AW203" s="337"/>
      <c r="AX203" s="337"/>
      <c r="AY203" s="337"/>
      <c r="AZ203" s="337"/>
      <c r="BA203" s="337"/>
      <c r="BB203" s="338"/>
      <c r="BC203" s="339"/>
      <c r="BD203" s="340"/>
      <c r="BE203" s="341"/>
    </row>
    <row r="204" spans="1:57" x14ac:dyDescent="0.3">
      <c r="A204" s="241" t="str">
        <f t="shared" ref="A204:A213" si="4">CONCATENATE(B204,C204)</f>
        <v/>
      </c>
      <c r="B204" s="371"/>
      <c r="C204" s="362"/>
      <c r="D204" s="363"/>
      <c r="E204" s="366"/>
      <c r="F204" s="327"/>
      <c r="G204" s="329"/>
      <c r="H204" s="329"/>
      <c r="I204" s="329"/>
      <c r="J204" s="329"/>
      <c r="K204" s="329"/>
      <c r="L204" s="329"/>
      <c r="M204" s="329"/>
      <c r="N204" s="329"/>
      <c r="O204" s="330"/>
      <c r="P204" s="330"/>
      <c r="Q204" s="331"/>
      <c r="R204" s="331"/>
      <c r="S204" s="331"/>
      <c r="T204" s="331"/>
      <c r="U204" s="331"/>
      <c r="V204" s="331"/>
      <c r="W204" s="331"/>
      <c r="X204" s="332"/>
      <c r="Y204" s="331"/>
      <c r="Z204" s="329"/>
      <c r="AA204" s="333"/>
      <c r="AB204" s="334"/>
      <c r="AC204" s="335"/>
      <c r="AD204" s="336"/>
      <c r="AE204" s="336"/>
      <c r="AF204" s="336"/>
      <c r="AG204" s="336"/>
      <c r="AH204" s="336"/>
      <c r="AI204" s="336"/>
      <c r="AJ204" s="336"/>
      <c r="AK204" s="336"/>
      <c r="AL204" s="336"/>
      <c r="AM204" s="336"/>
      <c r="AN204" s="336"/>
      <c r="AO204" s="336"/>
      <c r="AP204" s="337"/>
      <c r="AQ204" s="337"/>
      <c r="AR204" s="337"/>
      <c r="AS204" s="337"/>
      <c r="AT204" s="337"/>
      <c r="AU204" s="337"/>
      <c r="AV204" s="337"/>
      <c r="AW204" s="337"/>
      <c r="AX204" s="337"/>
      <c r="AY204" s="337"/>
      <c r="AZ204" s="337"/>
      <c r="BA204" s="337"/>
      <c r="BB204" s="338"/>
      <c r="BC204" s="339"/>
      <c r="BD204" s="340"/>
      <c r="BE204" s="341"/>
    </row>
    <row r="205" spans="1:57" x14ac:dyDescent="0.3">
      <c r="A205" s="241" t="str">
        <f t="shared" si="4"/>
        <v/>
      </c>
      <c r="B205" s="371"/>
      <c r="C205" s="362"/>
      <c r="D205" s="363"/>
      <c r="E205" s="366"/>
      <c r="F205" s="327"/>
      <c r="G205" s="329"/>
      <c r="H205" s="329"/>
      <c r="I205" s="329"/>
      <c r="J205" s="329"/>
      <c r="K205" s="329"/>
      <c r="L205" s="329"/>
      <c r="M205" s="329"/>
      <c r="N205" s="329"/>
      <c r="O205" s="330"/>
      <c r="P205" s="330"/>
      <c r="Q205" s="331"/>
      <c r="R205" s="331"/>
      <c r="S205" s="331"/>
      <c r="T205" s="331"/>
      <c r="U205" s="331"/>
      <c r="V205" s="331"/>
      <c r="W205" s="331"/>
      <c r="X205" s="332"/>
      <c r="Y205" s="331"/>
      <c r="Z205" s="329"/>
      <c r="AA205" s="333"/>
      <c r="AB205" s="334"/>
      <c r="AC205" s="335"/>
      <c r="AD205" s="336"/>
      <c r="AE205" s="336"/>
      <c r="AF205" s="336"/>
      <c r="AG205" s="336"/>
      <c r="AH205" s="336"/>
      <c r="AI205" s="336"/>
      <c r="AJ205" s="336"/>
      <c r="AK205" s="336"/>
      <c r="AL205" s="336"/>
      <c r="AM205" s="336"/>
      <c r="AN205" s="336"/>
      <c r="AO205" s="336"/>
      <c r="AP205" s="337"/>
      <c r="AQ205" s="337"/>
      <c r="AR205" s="337"/>
      <c r="AS205" s="337"/>
      <c r="AT205" s="337"/>
      <c r="AU205" s="337"/>
      <c r="AV205" s="337"/>
      <c r="AW205" s="337"/>
      <c r="AX205" s="337"/>
      <c r="AY205" s="337"/>
      <c r="AZ205" s="337"/>
      <c r="BA205" s="337"/>
      <c r="BB205" s="338"/>
      <c r="BC205" s="339"/>
      <c r="BD205" s="340"/>
      <c r="BE205" s="341"/>
    </row>
    <row r="206" spans="1:57" x14ac:dyDescent="0.3">
      <c r="A206" s="241" t="str">
        <f t="shared" si="4"/>
        <v/>
      </c>
      <c r="B206" s="364"/>
      <c r="C206" s="362"/>
      <c r="D206" s="363"/>
      <c r="E206" s="366"/>
      <c r="F206" s="347"/>
      <c r="G206" s="329"/>
      <c r="H206" s="329"/>
      <c r="I206" s="329"/>
      <c r="J206" s="329"/>
      <c r="K206" s="329"/>
      <c r="L206" s="329"/>
      <c r="M206" s="329"/>
      <c r="N206" s="329"/>
      <c r="O206" s="330"/>
      <c r="P206" s="330"/>
      <c r="Q206" s="331"/>
      <c r="R206" s="331"/>
      <c r="S206" s="331"/>
      <c r="T206" s="331"/>
      <c r="U206" s="331"/>
      <c r="V206" s="331"/>
      <c r="W206" s="331"/>
      <c r="X206" s="332"/>
      <c r="Y206" s="331"/>
      <c r="Z206" s="329"/>
      <c r="AA206" s="333"/>
      <c r="AB206" s="334"/>
      <c r="AC206" s="335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6"/>
      <c r="AP206" s="337"/>
      <c r="AQ206" s="337"/>
      <c r="AR206" s="337"/>
      <c r="AS206" s="337"/>
      <c r="AT206" s="337"/>
      <c r="AU206" s="337"/>
      <c r="AV206" s="337"/>
      <c r="AW206" s="337"/>
      <c r="AX206" s="337"/>
      <c r="AY206" s="337"/>
      <c r="AZ206" s="337"/>
      <c r="BA206" s="337"/>
      <c r="BB206" s="338"/>
      <c r="BC206" s="339"/>
      <c r="BD206" s="340"/>
      <c r="BE206" s="341"/>
    </row>
    <row r="207" spans="1:57" x14ac:dyDescent="0.3">
      <c r="A207" s="241" t="str">
        <f t="shared" si="4"/>
        <v/>
      </c>
      <c r="B207" s="364"/>
      <c r="C207" s="362"/>
      <c r="D207" s="363"/>
      <c r="E207" s="366"/>
      <c r="F207" s="327"/>
      <c r="G207" s="329"/>
      <c r="H207" s="329"/>
      <c r="I207" s="329"/>
      <c r="J207" s="329"/>
      <c r="K207" s="329"/>
      <c r="L207" s="329"/>
      <c r="M207" s="329"/>
      <c r="N207" s="329"/>
      <c r="O207" s="330"/>
      <c r="P207" s="330"/>
      <c r="Q207" s="331"/>
      <c r="R207" s="331"/>
      <c r="S207" s="331"/>
      <c r="T207" s="331"/>
      <c r="U207" s="331"/>
      <c r="V207" s="331"/>
      <c r="W207" s="331"/>
      <c r="X207" s="332"/>
      <c r="Y207" s="331"/>
      <c r="Z207" s="329"/>
      <c r="AA207" s="333"/>
      <c r="AB207" s="334"/>
      <c r="AC207" s="335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6"/>
      <c r="AP207" s="337"/>
      <c r="AQ207" s="337"/>
      <c r="AR207" s="337"/>
      <c r="AS207" s="337"/>
      <c r="AT207" s="337"/>
      <c r="AU207" s="337"/>
      <c r="AV207" s="337"/>
      <c r="AW207" s="337"/>
      <c r="AX207" s="337"/>
      <c r="AY207" s="337"/>
      <c r="AZ207" s="337"/>
      <c r="BA207" s="337"/>
      <c r="BB207" s="338"/>
      <c r="BC207" s="339"/>
      <c r="BD207" s="340"/>
      <c r="BE207" s="341"/>
    </row>
    <row r="208" spans="1:57" x14ac:dyDescent="0.3">
      <c r="A208" s="241" t="str">
        <f t="shared" si="4"/>
        <v/>
      </c>
      <c r="B208" s="371"/>
      <c r="C208" s="362"/>
      <c r="D208" s="363"/>
      <c r="E208" s="366"/>
      <c r="F208" s="347"/>
      <c r="G208" s="329"/>
      <c r="H208" s="329"/>
      <c r="I208" s="329"/>
      <c r="J208" s="329"/>
      <c r="K208" s="329"/>
      <c r="L208" s="329"/>
      <c r="M208" s="329"/>
      <c r="N208" s="329"/>
      <c r="O208" s="330"/>
      <c r="P208" s="330"/>
      <c r="Q208" s="331"/>
      <c r="R208" s="331"/>
      <c r="S208" s="331"/>
      <c r="T208" s="331"/>
      <c r="U208" s="331"/>
      <c r="V208" s="331"/>
      <c r="W208" s="331"/>
      <c r="X208" s="332"/>
      <c r="Y208" s="331"/>
      <c r="Z208" s="329"/>
      <c r="AA208" s="333"/>
      <c r="AB208" s="334"/>
      <c r="AC208" s="335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6"/>
      <c r="AP208" s="337"/>
      <c r="AQ208" s="337"/>
      <c r="AR208" s="337"/>
      <c r="AS208" s="337"/>
      <c r="AT208" s="337"/>
      <c r="AU208" s="337"/>
      <c r="AV208" s="337"/>
      <c r="AW208" s="337"/>
      <c r="AX208" s="337"/>
      <c r="AY208" s="337"/>
      <c r="AZ208" s="337"/>
      <c r="BA208" s="337"/>
      <c r="BB208" s="338"/>
      <c r="BC208" s="339"/>
      <c r="BD208" s="340"/>
      <c r="BE208" s="341"/>
    </row>
    <row r="209" spans="1:57" x14ac:dyDescent="0.3">
      <c r="A209" s="241" t="str">
        <f t="shared" si="4"/>
        <v/>
      </c>
      <c r="B209" s="371"/>
      <c r="C209" s="362"/>
      <c r="D209" s="363"/>
      <c r="E209" s="366"/>
      <c r="F209" s="347"/>
      <c r="G209" s="329"/>
      <c r="H209" s="329"/>
      <c r="I209" s="329"/>
      <c r="J209" s="329"/>
      <c r="K209" s="329"/>
      <c r="L209" s="329"/>
      <c r="M209" s="329"/>
      <c r="N209" s="329"/>
      <c r="O209" s="330"/>
      <c r="P209" s="330"/>
      <c r="Q209" s="331"/>
      <c r="R209" s="331"/>
      <c r="S209" s="331"/>
      <c r="T209" s="331"/>
      <c r="U209" s="331"/>
      <c r="V209" s="331"/>
      <c r="W209" s="331"/>
      <c r="X209" s="332"/>
      <c r="Y209" s="331"/>
      <c r="Z209" s="329"/>
      <c r="AA209" s="333"/>
      <c r="AB209" s="334"/>
      <c r="AC209" s="335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6"/>
      <c r="AP209" s="337"/>
      <c r="AQ209" s="337"/>
      <c r="AR209" s="337"/>
      <c r="AS209" s="337"/>
      <c r="AT209" s="337"/>
      <c r="AU209" s="337"/>
      <c r="AV209" s="337"/>
      <c r="AW209" s="337"/>
      <c r="AX209" s="337"/>
      <c r="AY209" s="337"/>
      <c r="AZ209" s="337"/>
      <c r="BA209" s="337"/>
      <c r="BB209" s="338"/>
      <c r="BC209" s="339"/>
      <c r="BD209" s="340"/>
      <c r="BE209" s="341"/>
    </row>
    <row r="210" spans="1:57" x14ac:dyDescent="0.3">
      <c r="A210" s="241" t="str">
        <f t="shared" si="4"/>
        <v/>
      </c>
      <c r="B210" s="371"/>
      <c r="C210" s="362"/>
      <c r="D210" s="363"/>
      <c r="E210" s="366"/>
      <c r="F210" s="347"/>
      <c r="G210" s="329"/>
      <c r="H210" s="329"/>
      <c r="I210" s="329"/>
      <c r="J210" s="329"/>
      <c r="K210" s="329"/>
      <c r="L210" s="329"/>
      <c r="M210" s="329"/>
      <c r="N210" s="329"/>
      <c r="O210" s="330"/>
      <c r="P210" s="330"/>
      <c r="Q210" s="331"/>
      <c r="R210" s="331"/>
      <c r="S210" s="331"/>
      <c r="T210" s="331"/>
      <c r="U210" s="331"/>
      <c r="V210" s="331"/>
      <c r="W210" s="331"/>
      <c r="X210" s="332"/>
      <c r="Y210" s="331"/>
      <c r="Z210" s="329"/>
      <c r="AA210" s="333"/>
      <c r="AB210" s="334"/>
      <c r="AC210" s="335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6"/>
      <c r="AP210" s="337"/>
      <c r="AQ210" s="337"/>
      <c r="AR210" s="337"/>
      <c r="AS210" s="337"/>
      <c r="AT210" s="337"/>
      <c r="AU210" s="337"/>
      <c r="AV210" s="337"/>
      <c r="AW210" s="337"/>
      <c r="AX210" s="337"/>
      <c r="AY210" s="337"/>
      <c r="AZ210" s="337"/>
      <c r="BA210" s="337"/>
      <c r="BB210" s="338"/>
      <c r="BC210" s="339"/>
      <c r="BD210" s="340"/>
      <c r="BE210" s="341"/>
    </row>
    <row r="211" spans="1:57" x14ac:dyDescent="0.3">
      <c r="A211" s="241" t="str">
        <f t="shared" si="4"/>
        <v/>
      </c>
      <c r="B211" s="371"/>
      <c r="C211" s="362"/>
      <c r="D211" s="363"/>
      <c r="E211" s="366"/>
      <c r="F211" s="347"/>
      <c r="G211" s="329"/>
      <c r="H211" s="329"/>
      <c r="I211" s="329"/>
      <c r="J211" s="329"/>
      <c r="K211" s="329"/>
      <c r="L211" s="329"/>
      <c r="M211" s="329"/>
      <c r="N211" s="329"/>
      <c r="O211" s="330"/>
      <c r="P211" s="330"/>
      <c r="Q211" s="331"/>
      <c r="R211" s="331"/>
      <c r="S211" s="331"/>
      <c r="T211" s="331"/>
      <c r="U211" s="331"/>
      <c r="V211" s="331"/>
      <c r="W211" s="331"/>
      <c r="X211" s="332"/>
      <c r="Y211" s="331"/>
      <c r="Z211" s="329"/>
      <c r="AA211" s="333"/>
      <c r="AB211" s="334"/>
      <c r="AC211" s="335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6"/>
      <c r="AP211" s="337"/>
      <c r="AQ211" s="337"/>
      <c r="AR211" s="337"/>
      <c r="AS211" s="337"/>
      <c r="AT211" s="337"/>
      <c r="AU211" s="337"/>
      <c r="AV211" s="337"/>
      <c r="AW211" s="337"/>
      <c r="AX211" s="337"/>
      <c r="AY211" s="337"/>
      <c r="AZ211" s="337"/>
      <c r="BA211" s="337"/>
      <c r="BB211" s="338"/>
      <c r="BC211" s="339"/>
      <c r="BD211" s="340"/>
      <c r="BE211" s="341"/>
    </row>
    <row r="212" spans="1:57" x14ac:dyDescent="0.3">
      <c r="A212" s="241" t="str">
        <f t="shared" si="4"/>
        <v/>
      </c>
      <c r="B212" s="371"/>
      <c r="C212" s="362"/>
      <c r="D212" s="363"/>
      <c r="E212" s="366"/>
      <c r="F212" s="327"/>
      <c r="G212" s="329"/>
      <c r="H212" s="329"/>
      <c r="I212" s="329"/>
      <c r="J212" s="329"/>
      <c r="K212" s="329"/>
      <c r="L212" s="329"/>
      <c r="M212" s="329"/>
      <c r="N212" s="329"/>
      <c r="O212" s="330"/>
      <c r="P212" s="330"/>
      <c r="Q212" s="331"/>
      <c r="R212" s="331"/>
      <c r="S212" s="331"/>
      <c r="T212" s="331"/>
      <c r="U212" s="331"/>
      <c r="V212" s="331"/>
      <c r="W212" s="331"/>
      <c r="X212" s="332"/>
      <c r="Y212" s="331"/>
      <c r="Z212" s="329"/>
      <c r="AA212" s="333"/>
      <c r="AB212" s="334"/>
      <c r="AC212" s="335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6"/>
      <c r="AP212" s="337"/>
      <c r="AQ212" s="337"/>
      <c r="AR212" s="337"/>
      <c r="AS212" s="337"/>
      <c r="AT212" s="337"/>
      <c r="AU212" s="337"/>
      <c r="AV212" s="337"/>
      <c r="AW212" s="337"/>
      <c r="AX212" s="337"/>
      <c r="AY212" s="337"/>
      <c r="AZ212" s="337"/>
      <c r="BA212" s="337"/>
      <c r="BB212" s="338"/>
      <c r="BC212" s="339"/>
      <c r="BD212" s="340"/>
      <c r="BE212" s="341"/>
    </row>
    <row r="213" spans="1:57" x14ac:dyDescent="0.3">
      <c r="A213" s="241" t="str">
        <f t="shared" si="4"/>
        <v/>
      </c>
      <c r="B213" s="364"/>
      <c r="C213" s="362"/>
      <c r="D213" s="363"/>
      <c r="E213" s="366"/>
      <c r="F213" s="327"/>
      <c r="G213" s="329"/>
      <c r="H213" s="329"/>
      <c r="I213" s="329"/>
      <c r="J213" s="329"/>
      <c r="K213" s="329"/>
      <c r="L213" s="329"/>
      <c r="M213" s="329"/>
      <c r="N213" s="329"/>
      <c r="O213" s="330"/>
      <c r="P213" s="330"/>
      <c r="Q213" s="331"/>
      <c r="R213" s="331"/>
      <c r="S213" s="331"/>
      <c r="T213" s="331"/>
      <c r="U213" s="331"/>
      <c r="V213" s="331"/>
      <c r="W213" s="331"/>
      <c r="X213" s="332"/>
      <c r="Y213" s="331"/>
      <c r="Z213" s="329"/>
      <c r="AA213" s="333"/>
      <c r="AB213" s="334"/>
      <c r="AC213" s="335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6"/>
      <c r="AP213" s="337"/>
      <c r="AQ213" s="337"/>
      <c r="AR213" s="337"/>
      <c r="AS213" s="337"/>
      <c r="AT213" s="337"/>
      <c r="AU213" s="337"/>
      <c r="AV213" s="337"/>
      <c r="AW213" s="337"/>
      <c r="AX213" s="337"/>
      <c r="AY213" s="337"/>
      <c r="AZ213" s="337"/>
      <c r="BA213" s="337"/>
      <c r="BB213" s="338"/>
      <c r="BC213" s="339"/>
      <c r="BD213" s="340"/>
      <c r="BE213" s="341"/>
    </row>
    <row r="214" spans="1:57" x14ac:dyDescent="0.3">
      <c r="A214" s="241" t="str">
        <f t="shared" ref="A214:A276" si="5">CONCATENATE(B214,C214)</f>
        <v/>
      </c>
      <c r="B214" s="364"/>
      <c r="C214" s="362"/>
      <c r="D214" s="363"/>
      <c r="E214" s="366"/>
      <c r="F214" s="347"/>
      <c r="G214" s="329"/>
      <c r="H214" s="329"/>
      <c r="I214" s="329"/>
      <c r="J214" s="329"/>
      <c r="K214" s="329"/>
      <c r="L214" s="329"/>
      <c r="M214" s="329"/>
      <c r="N214" s="329"/>
      <c r="O214" s="330"/>
      <c r="P214" s="330"/>
      <c r="Q214" s="331"/>
      <c r="R214" s="331"/>
      <c r="S214" s="331"/>
      <c r="T214" s="331"/>
      <c r="U214" s="331"/>
      <c r="V214" s="331"/>
      <c r="W214" s="331"/>
      <c r="X214" s="332"/>
      <c r="Y214" s="331"/>
      <c r="Z214" s="329"/>
      <c r="AA214" s="333"/>
      <c r="AB214" s="334"/>
      <c r="AC214" s="335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6"/>
      <c r="AP214" s="337"/>
      <c r="AQ214" s="337"/>
      <c r="AR214" s="337"/>
      <c r="AS214" s="337"/>
      <c r="AT214" s="337"/>
      <c r="AU214" s="337"/>
      <c r="AV214" s="337"/>
      <c r="AW214" s="337"/>
      <c r="AX214" s="337"/>
      <c r="AY214" s="337"/>
      <c r="AZ214" s="337"/>
      <c r="BA214" s="337"/>
      <c r="BB214" s="338"/>
      <c r="BC214" s="339"/>
      <c r="BD214" s="340"/>
      <c r="BE214" s="341"/>
    </row>
    <row r="215" spans="1:57" x14ac:dyDescent="0.3">
      <c r="A215" s="241" t="str">
        <f t="shared" si="5"/>
        <v/>
      </c>
      <c r="B215" s="364"/>
      <c r="C215" s="362"/>
      <c r="D215" s="363"/>
      <c r="E215" s="366"/>
      <c r="F215" s="347"/>
      <c r="G215" s="329"/>
      <c r="H215" s="329"/>
      <c r="I215" s="329"/>
      <c r="J215" s="329"/>
      <c r="K215" s="329"/>
      <c r="L215" s="329"/>
      <c r="M215" s="329"/>
      <c r="N215" s="329"/>
      <c r="O215" s="330"/>
      <c r="P215" s="330"/>
      <c r="Q215" s="331"/>
      <c r="R215" s="331"/>
      <c r="S215" s="331"/>
      <c r="T215" s="331"/>
      <c r="U215" s="331"/>
      <c r="V215" s="331"/>
      <c r="W215" s="331"/>
      <c r="X215" s="332"/>
      <c r="Y215" s="331"/>
      <c r="Z215" s="329"/>
      <c r="AA215" s="333"/>
      <c r="AB215" s="334"/>
      <c r="AC215" s="335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6"/>
      <c r="AP215" s="337"/>
      <c r="AQ215" s="337"/>
      <c r="AR215" s="337"/>
      <c r="AS215" s="337"/>
      <c r="AT215" s="337"/>
      <c r="AU215" s="337"/>
      <c r="AV215" s="337"/>
      <c r="AW215" s="337"/>
      <c r="AX215" s="337"/>
      <c r="AY215" s="337"/>
      <c r="AZ215" s="337"/>
      <c r="BA215" s="337"/>
      <c r="BB215" s="338"/>
      <c r="BC215" s="339"/>
      <c r="BD215" s="340"/>
      <c r="BE215" s="341"/>
    </row>
    <row r="216" spans="1:57" x14ac:dyDescent="0.3">
      <c r="A216" s="241" t="str">
        <f t="shared" si="5"/>
        <v/>
      </c>
      <c r="B216" s="371"/>
      <c r="C216" s="362"/>
      <c r="D216" s="363"/>
      <c r="E216" s="366"/>
      <c r="F216" s="347"/>
      <c r="G216" s="329"/>
      <c r="H216" s="329"/>
      <c r="I216" s="329"/>
      <c r="J216" s="329"/>
      <c r="K216" s="329"/>
      <c r="L216" s="329"/>
      <c r="M216" s="329"/>
      <c r="N216" s="329"/>
      <c r="O216" s="330"/>
      <c r="P216" s="330"/>
      <c r="Q216" s="331"/>
      <c r="R216" s="331"/>
      <c r="S216" s="331"/>
      <c r="T216" s="331"/>
      <c r="U216" s="331"/>
      <c r="V216" s="331"/>
      <c r="W216" s="331"/>
      <c r="X216" s="332"/>
      <c r="Y216" s="331"/>
      <c r="Z216" s="329"/>
      <c r="AA216" s="333"/>
      <c r="AB216" s="334"/>
      <c r="AC216" s="335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7"/>
      <c r="AQ216" s="337"/>
      <c r="AR216" s="337"/>
      <c r="AS216" s="337"/>
      <c r="AT216" s="337"/>
      <c r="AU216" s="337"/>
      <c r="AV216" s="337"/>
      <c r="AW216" s="337"/>
      <c r="AX216" s="337"/>
      <c r="AY216" s="337"/>
      <c r="AZ216" s="337"/>
      <c r="BA216" s="337"/>
      <c r="BB216" s="338"/>
      <c r="BC216" s="339"/>
      <c r="BD216" s="340"/>
      <c r="BE216" s="341"/>
    </row>
    <row r="217" spans="1:57" x14ac:dyDescent="0.3">
      <c r="A217" s="241" t="str">
        <f t="shared" si="5"/>
        <v/>
      </c>
      <c r="B217" s="371"/>
      <c r="C217" s="362"/>
      <c r="D217" s="363"/>
      <c r="E217" s="366"/>
      <c r="F217" s="347"/>
      <c r="G217" s="329"/>
      <c r="H217" s="329"/>
      <c r="I217" s="329"/>
      <c r="J217" s="329"/>
      <c r="K217" s="329"/>
      <c r="L217" s="329"/>
      <c r="M217" s="329"/>
      <c r="N217" s="329"/>
      <c r="O217" s="330"/>
      <c r="P217" s="330"/>
      <c r="Q217" s="331"/>
      <c r="R217" s="331"/>
      <c r="S217" s="331"/>
      <c r="T217" s="331"/>
      <c r="U217" s="331"/>
      <c r="V217" s="331"/>
      <c r="W217" s="331"/>
      <c r="X217" s="332"/>
      <c r="Y217" s="331"/>
      <c r="Z217" s="329"/>
      <c r="AA217" s="333"/>
      <c r="AB217" s="334"/>
      <c r="AC217" s="335"/>
      <c r="AD217" s="336"/>
      <c r="AE217" s="336"/>
      <c r="AF217" s="336"/>
      <c r="AG217" s="336"/>
      <c r="AH217" s="336"/>
      <c r="AI217" s="336"/>
      <c r="AJ217" s="336"/>
      <c r="AK217" s="336"/>
      <c r="AL217" s="336"/>
      <c r="AM217" s="336"/>
      <c r="AN217" s="336"/>
      <c r="AO217" s="336"/>
      <c r="AP217" s="337"/>
      <c r="AQ217" s="337"/>
      <c r="AR217" s="337"/>
      <c r="AS217" s="337"/>
      <c r="AT217" s="337"/>
      <c r="AU217" s="337"/>
      <c r="AV217" s="337"/>
      <c r="AW217" s="337"/>
      <c r="AX217" s="337"/>
      <c r="AY217" s="337"/>
      <c r="AZ217" s="337"/>
      <c r="BA217" s="337"/>
      <c r="BB217" s="338"/>
      <c r="BC217" s="339"/>
      <c r="BD217" s="340"/>
      <c r="BE217" s="341"/>
    </row>
    <row r="218" spans="1:57" x14ac:dyDescent="0.3">
      <c r="A218" s="241" t="str">
        <f t="shared" si="5"/>
        <v/>
      </c>
      <c r="B218" s="371"/>
      <c r="C218" s="362"/>
      <c r="D218" s="363"/>
      <c r="E218" s="366"/>
      <c r="F218" s="347"/>
      <c r="G218" s="329"/>
      <c r="H218" s="329"/>
      <c r="I218" s="329"/>
      <c r="J218" s="329"/>
      <c r="K218" s="329"/>
      <c r="L218" s="329"/>
      <c r="M218" s="329"/>
      <c r="N218" s="329"/>
      <c r="O218" s="330"/>
      <c r="P218" s="330"/>
      <c r="Q218" s="331"/>
      <c r="R218" s="331"/>
      <c r="S218" s="331"/>
      <c r="T218" s="331"/>
      <c r="U218" s="331"/>
      <c r="V218" s="331"/>
      <c r="W218" s="331"/>
      <c r="X218" s="332"/>
      <c r="Y218" s="331"/>
      <c r="Z218" s="329"/>
      <c r="AA218" s="333"/>
      <c r="AB218" s="334"/>
      <c r="AC218" s="335"/>
      <c r="AD218" s="336"/>
      <c r="AE218" s="336"/>
      <c r="AF218" s="336"/>
      <c r="AG218" s="336"/>
      <c r="AH218" s="336"/>
      <c r="AI218" s="336"/>
      <c r="AJ218" s="336"/>
      <c r="AK218" s="336"/>
      <c r="AL218" s="336"/>
      <c r="AM218" s="336"/>
      <c r="AN218" s="336"/>
      <c r="AO218" s="336"/>
      <c r="AP218" s="337"/>
      <c r="AQ218" s="337"/>
      <c r="AR218" s="337"/>
      <c r="AS218" s="337"/>
      <c r="AT218" s="337"/>
      <c r="AU218" s="337"/>
      <c r="AV218" s="337"/>
      <c r="AW218" s="337"/>
      <c r="AX218" s="337"/>
      <c r="AY218" s="337"/>
      <c r="AZ218" s="337"/>
      <c r="BA218" s="337"/>
      <c r="BB218" s="338"/>
      <c r="BC218" s="339"/>
      <c r="BD218" s="340"/>
      <c r="BE218" s="341"/>
    </row>
    <row r="219" spans="1:57" x14ac:dyDescent="0.3">
      <c r="A219" s="241" t="str">
        <f t="shared" si="5"/>
        <v/>
      </c>
      <c r="B219" s="371"/>
      <c r="C219" s="362"/>
      <c r="D219" s="363"/>
      <c r="E219" s="366"/>
      <c r="F219" s="347"/>
      <c r="G219" s="329"/>
      <c r="H219" s="329"/>
      <c r="I219" s="329"/>
      <c r="J219" s="329"/>
      <c r="K219" s="329"/>
      <c r="L219" s="329"/>
      <c r="M219" s="329"/>
      <c r="N219" s="329"/>
      <c r="O219" s="330"/>
      <c r="P219" s="330"/>
      <c r="Q219" s="331"/>
      <c r="R219" s="331"/>
      <c r="S219" s="331"/>
      <c r="T219" s="331"/>
      <c r="U219" s="331"/>
      <c r="V219" s="331"/>
      <c r="W219" s="331"/>
      <c r="X219" s="332"/>
      <c r="Y219" s="331"/>
      <c r="Z219" s="329"/>
      <c r="AA219" s="333"/>
      <c r="AB219" s="334"/>
      <c r="AC219" s="335"/>
      <c r="AD219" s="336"/>
      <c r="AE219" s="336"/>
      <c r="AF219" s="336"/>
      <c r="AG219" s="336"/>
      <c r="AH219" s="336"/>
      <c r="AI219" s="336"/>
      <c r="AJ219" s="336"/>
      <c r="AK219" s="336"/>
      <c r="AL219" s="336"/>
      <c r="AM219" s="336"/>
      <c r="AN219" s="336"/>
      <c r="AO219" s="336"/>
      <c r="AP219" s="337"/>
      <c r="AQ219" s="337"/>
      <c r="AR219" s="337"/>
      <c r="AS219" s="337"/>
      <c r="AT219" s="337"/>
      <c r="AU219" s="337"/>
      <c r="AV219" s="337"/>
      <c r="AW219" s="337"/>
      <c r="AX219" s="337"/>
      <c r="AY219" s="337"/>
      <c r="AZ219" s="337"/>
      <c r="BA219" s="337"/>
      <c r="BB219" s="338"/>
      <c r="BC219" s="339"/>
      <c r="BD219" s="340"/>
      <c r="BE219" s="341"/>
    </row>
    <row r="220" spans="1:57" x14ac:dyDescent="0.3">
      <c r="A220" s="241" t="str">
        <f t="shared" si="5"/>
        <v/>
      </c>
      <c r="B220" s="371"/>
      <c r="C220" s="362"/>
      <c r="D220" s="363"/>
      <c r="E220" s="366"/>
      <c r="F220" s="347"/>
      <c r="G220" s="329"/>
      <c r="H220" s="329"/>
      <c r="I220" s="329"/>
      <c r="J220" s="329"/>
      <c r="K220" s="329"/>
      <c r="L220" s="329"/>
      <c r="M220" s="329"/>
      <c r="N220" s="329"/>
      <c r="O220" s="330"/>
      <c r="P220" s="330"/>
      <c r="Q220" s="331"/>
      <c r="R220" s="331"/>
      <c r="S220" s="331"/>
      <c r="T220" s="331"/>
      <c r="U220" s="331"/>
      <c r="V220" s="331"/>
      <c r="W220" s="331"/>
      <c r="X220" s="332"/>
      <c r="Y220" s="331"/>
      <c r="Z220" s="329"/>
      <c r="AA220" s="333"/>
      <c r="AB220" s="334"/>
      <c r="AC220" s="335"/>
      <c r="AD220" s="336"/>
      <c r="AE220" s="336"/>
      <c r="AF220" s="336"/>
      <c r="AG220" s="336"/>
      <c r="AH220" s="336"/>
      <c r="AI220" s="336"/>
      <c r="AJ220" s="336"/>
      <c r="AK220" s="336"/>
      <c r="AL220" s="336"/>
      <c r="AM220" s="336"/>
      <c r="AN220" s="336"/>
      <c r="AO220" s="336"/>
      <c r="AP220" s="337"/>
      <c r="AQ220" s="337"/>
      <c r="AR220" s="337"/>
      <c r="AS220" s="337"/>
      <c r="AT220" s="337"/>
      <c r="AU220" s="337"/>
      <c r="AV220" s="337"/>
      <c r="AW220" s="337"/>
      <c r="AX220" s="337"/>
      <c r="AY220" s="337"/>
      <c r="AZ220" s="337"/>
      <c r="BA220" s="337"/>
      <c r="BB220" s="338"/>
      <c r="BC220" s="339"/>
      <c r="BD220" s="340"/>
      <c r="BE220" s="341"/>
    </row>
    <row r="221" spans="1:57" x14ac:dyDescent="0.3">
      <c r="A221" s="241" t="str">
        <f t="shared" si="5"/>
        <v/>
      </c>
      <c r="B221" s="371"/>
      <c r="C221" s="362"/>
      <c r="D221" s="363"/>
      <c r="E221" s="366"/>
      <c r="F221" s="347"/>
      <c r="G221" s="329"/>
      <c r="H221" s="329"/>
      <c r="I221" s="329"/>
      <c r="J221" s="329"/>
      <c r="K221" s="329"/>
      <c r="L221" s="329"/>
      <c r="M221" s="329"/>
      <c r="N221" s="329"/>
      <c r="O221" s="330"/>
      <c r="P221" s="330"/>
      <c r="Q221" s="331"/>
      <c r="R221" s="331"/>
      <c r="S221" s="331"/>
      <c r="T221" s="331"/>
      <c r="U221" s="331"/>
      <c r="V221" s="331"/>
      <c r="W221" s="331"/>
      <c r="X221" s="332"/>
      <c r="Y221" s="331"/>
      <c r="Z221" s="329"/>
      <c r="AA221" s="333"/>
      <c r="AB221" s="334"/>
      <c r="AC221" s="335"/>
      <c r="AD221" s="336"/>
      <c r="AE221" s="336"/>
      <c r="AF221" s="336"/>
      <c r="AG221" s="336"/>
      <c r="AH221" s="336"/>
      <c r="AI221" s="336"/>
      <c r="AJ221" s="336"/>
      <c r="AK221" s="336"/>
      <c r="AL221" s="336"/>
      <c r="AM221" s="336"/>
      <c r="AN221" s="336"/>
      <c r="AO221" s="336"/>
      <c r="AP221" s="337"/>
      <c r="AQ221" s="337"/>
      <c r="AR221" s="337"/>
      <c r="AS221" s="337"/>
      <c r="AT221" s="337"/>
      <c r="AU221" s="337"/>
      <c r="AV221" s="337"/>
      <c r="AW221" s="337"/>
      <c r="AX221" s="337"/>
      <c r="AY221" s="337"/>
      <c r="AZ221" s="337"/>
      <c r="BA221" s="337"/>
      <c r="BB221" s="338"/>
      <c r="BC221" s="339"/>
      <c r="BD221" s="340"/>
      <c r="BE221" s="341"/>
    </row>
    <row r="222" spans="1:57" x14ac:dyDescent="0.3">
      <c r="A222" s="241" t="str">
        <f t="shared" si="5"/>
        <v/>
      </c>
      <c r="B222" s="364"/>
      <c r="C222" s="362"/>
      <c r="D222" s="363"/>
      <c r="E222" s="366"/>
      <c r="F222" s="327"/>
      <c r="G222" s="329"/>
      <c r="H222" s="329"/>
      <c r="I222" s="329"/>
      <c r="J222" s="329"/>
      <c r="K222" s="329"/>
      <c r="L222" s="329"/>
      <c r="M222" s="329"/>
      <c r="N222" s="329"/>
      <c r="O222" s="330"/>
      <c r="P222" s="330"/>
      <c r="Q222" s="331"/>
      <c r="R222" s="331"/>
      <c r="S222" s="331"/>
      <c r="T222" s="331"/>
      <c r="U222" s="331"/>
      <c r="V222" s="331"/>
      <c r="W222" s="331"/>
      <c r="X222" s="332"/>
      <c r="Y222" s="331"/>
      <c r="Z222" s="329"/>
      <c r="AA222" s="333"/>
      <c r="AB222" s="334"/>
      <c r="AC222" s="335"/>
      <c r="AD222" s="336"/>
      <c r="AE222" s="336"/>
      <c r="AF222" s="336"/>
      <c r="AG222" s="336"/>
      <c r="AH222" s="336"/>
      <c r="AI222" s="336"/>
      <c r="AJ222" s="336"/>
      <c r="AK222" s="336"/>
      <c r="AL222" s="336"/>
      <c r="AM222" s="336"/>
      <c r="AN222" s="336"/>
      <c r="AO222" s="336"/>
      <c r="AP222" s="337"/>
      <c r="AQ222" s="337"/>
      <c r="AR222" s="337"/>
      <c r="AS222" s="337"/>
      <c r="AT222" s="337"/>
      <c r="AU222" s="337"/>
      <c r="AV222" s="337"/>
      <c r="AW222" s="337"/>
      <c r="AX222" s="337"/>
      <c r="AY222" s="337"/>
      <c r="AZ222" s="337"/>
      <c r="BA222" s="337"/>
      <c r="BB222" s="338"/>
      <c r="BC222" s="339"/>
      <c r="BD222" s="340"/>
      <c r="BE222" s="341"/>
    </row>
    <row r="223" spans="1:57" x14ac:dyDescent="0.3">
      <c r="A223" s="241" t="str">
        <f t="shared" si="5"/>
        <v/>
      </c>
      <c r="B223" s="364"/>
      <c r="C223" s="362"/>
      <c r="D223" s="363"/>
      <c r="E223" s="366"/>
      <c r="F223" s="329"/>
      <c r="G223" s="329"/>
      <c r="H223" s="329"/>
      <c r="I223" s="329"/>
      <c r="J223" s="329"/>
      <c r="K223" s="329"/>
      <c r="L223" s="329"/>
      <c r="M223" s="329"/>
      <c r="N223" s="329"/>
      <c r="O223" s="330"/>
      <c r="P223" s="330"/>
      <c r="Q223" s="331"/>
      <c r="R223" s="331"/>
      <c r="S223" s="331"/>
      <c r="T223" s="331"/>
      <c r="U223" s="331"/>
      <c r="V223" s="331"/>
      <c r="W223" s="331"/>
      <c r="X223" s="332"/>
      <c r="Y223" s="331"/>
      <c r="Z223" s="329"/>
      <c r="AA223" s="333"/>
      <c r="AB223" s="334"/>
      <c r="AC223" s="335"/>
      <c r="AD223" s="336"/>
      <c r="AE223" s="336"/>
      <c r="AF223" s="336"/>
      <c r="AG223" s="336"/>
      <c r="AH223" s="336"/>
      <c r="AI223" s="336"/>
      <c r="AJ223" s="336"/>
      <c r="AK223" s="336"/>
      <c r="AL223" s="336"/>
      <c r="AM223" s="336"/>
      <c r="AN223" s="336"/>
      <c r="AO223" s="336"/>
      <c r="AP223" s="337"/>
      <c r="AQ223" s="337"/>
      <c r="AR223" s="337"/>
      <c r="AS223" s="337"/>
      <c r="AT223" s="337"/>
      <c r="AU223" s="337"/>
      <c r="AV223" s="337"/>
      <c r="AW223" s="337"/>
      <c r="AX223" s="337"/>
      <c r="AY223" s="337"/>
      <c r="AZ223" s="337"/>
      <c r="BA223" s="337"/>
      <c r="BB223" s="338"/>
      <c r="BC223" s="339"/>
      <c r="BD223" s="340"/>
      <c r="BE223" s="341"/>
    </row>
    <row r="224" spans="1:57" x14ac:dyDescent="0.3">
      <c r="A224" s="241" t="str">
        <f t="shared" si="5"/>
        <v/>
      </c>
      <c r="B224" s="371"/>
      <c r="C224" s="362"/>
      <c r="D224" s="363"/>
      <c r="E224" s="366"/>
      <c r="F224" s="347"/>
      <c r="G224" s="329"/>
      <c r="H224" s="329"/>
      <c r="I224" s="329"/>
      <c r="J224" s="329"/>
      <c r="K224" s="329"/>
      <c r="L224" s="329"/>
      <c r="M224" s="329"/>
      <c r="N224" s="329"/>
      <c r="O224" s="330"/>
      <c r="P224" s="330"/>
      <c r="Q224" s="331"/>
      <c r="R224" s="331"/>
      <c r="S224" s="331"/>
      <c r="T224" s="331"/>
      <c r="U224" s="331"/>
      <c r="V224" s="331"/>
      <c r="W224" s="331"/>
      <c r="X224" s="332"/>
      <c r="Y224" s="331"/>
      <c r="Z224" s="329"/>
      <c r="AA224" s="333"/>
      <c r="AB224" s="334"/>
      <c r="AC224" s="335"/>
      <c r="AD224" s="336"/>
      <c r="AE224" s="336"/>
      <c r="AF224" s="336"/>
      <c r="AG224" s="336"/>
      <c r="AH224" s="336"/>
      <c r="AI224" s="336"/>
      <c r="AJ224" s="336"/>
      <c r="AK224" s="336"/>
      <c r="AL224" s="336"/>
      <c r="AM224" s="336"/>
      <c r="AN224" s="336"/>
      <c r="AO224" s="336"/>
      <c r="AP224" s="337"/>
      <c r="AQ224" s="337"/>
      <c r="AR224" s="337"/>
      <c r="AS224" s="337"/>
      <c r="AT224" s="337"/>
      <c r="AU224" s="337"/>
      <c r="AV224" s="337"/>
      <c r="AW224" s="337"/>
      <c r="AX224" s="337"/>
      <c r="AY224" s="337"/>
      <c r="AZ224" s="337"/>
      <c r="BA224" s="337"/>
      <c r="BB224" s="338"/>
      <c r="BC224" s="339"/>
      <c r="BD224" s="340"/>
      <c r="BE224" s="341"/>
    </row>
    <row r="225" spans="1:57" x14ac:dyDescent="0.3">
      <c r="A225" s="241" t="str">
        <f t="shared" si="5"/>
        <v/>
      </c>
      <c r="B225" s="371"/>
      <c r="C225" s="362"/>
      <c r="D225" s="363"/>
      <c r="E225" s="366"/>
      <c r="F225" s="347"/>
      <c r="G225" s="329"/>
      <c r="H225" s="329"/>
      <c r="I225" s="329"/>
      <c r="J225" s="329"/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>
      <c r="U225" s="331"/>
      <c r="V225" s="331"/>
      <c r="W225" s="331"/>
      <c r="X225" s="332"/>
      <c r="Y225" s="331"/>
      <c r="Z225" s="329"/>
      <c r="AA225" s="333"/>
      <c r="AB225" s="334"/>
      <c r="AC225" s="335"/>
      <c r="AD225" s="336"/>
      <c r="AE225" s="336"/>
      <c r="AF225" s="336"/>
      <c r="AG225" s="336"/>
      <c r="AH225" s="336"/>
      <c r="AI225" s="336"/>
      <c r="AJ225" s="336"/>
      <c r="AK225" s="336"/>
      <c r="AL225" s="336"/>
      <c r="AM225" s="336"/>
      <c r="AN225" s="336"/>
      <c r="AO225" s="336"/>
      <c r="AP225" s="337"/>
      <c r="AQ225" s="337"/>
      <c r="AR225" s="337"/>
      <c r="AS225" s="337"/>
      <c r="AT225" s="337"/>
      <c r="AU225" s="337"/>
      <c r="AV225" s="337"/>
      <c r="AW225" s="337"/>
      <c r="AX225" s="337"/>
      <c r="AY225" s="337"/>
      <c r="AZ225" s="337"/>
      <c r="BA225" s="337"/>
      <c r="BB225" s="338"/>
      <c r="BC225" s="339"/>
      <c r="BD225" s="340"/>
      <c r="BE225" s="341"/>
    </row>
    <row r="226" spans="1:57" x14ac:dyDescent="0.3">
      <c r="A226" s="241" t="str">
        <f t="shared" si="5"/>
        <v/>
      </c>
      <c r="B226" s="371"/>
      <c r="C226" s="362"/>
      <c r="D226" s="363"/>
      <c r="E226" s="366"/>
      <c r="F226" s="347"/>
      <c r="G226" s="329"/>
      <c r="H226" s="329"/>
      <c r="I226" s="329"/>
      <c r="J226" s="329"/>
      <c r="K226" s="329"/>
      <c r="L226" s="329"/>
      <c r="M226" s="329"/>
      <c r="N226" s="329"/>
      <c r="O226" s="330"/>
      <c r="P226" s="330"/>
      <c r="Q226" s="331"/>
      <c r="R226" s="331"/>
      <c r="S226" s="331"/>
      <c r="T226" s="331"/>
      <c r="U226" s="331"/>
      <c r="V226" s="331"/>
      <c r="W226" s="331"/>
      <c r="X226" s="332"/>
      <c r="Y226" s="331"/>
      <c r="Z226" s="329"/>
      <c r="AA226" s="333"/>
      <c r="AB226" s="334"/>
      <c r="AC226" s="335"/>
      <c r="AD226" s="336"/>
      <c r="AE226" s="336"/>
      <c r="AF226" s="336"/>
      <c r="AG226" s="336"/>
      <c r="AH226" s="336"/>
      <c r="AI226" s="336"/>
      <c r="AJ226" s="336"/>
      <c r="AK226" s="336"/>
      <c r="AL226" s="336"/>
      <c r="AM226" s="336"/>
      <c r="AN226" s="336"/>
      <c r="AO226" s="336"/>
      <c r="AP226" s="337"/>
      <c r="AQ226" s="337"/>
      <c r="AR226" s="337"/>
      <c r="AS226" s="337"/>
      <c r="AT226" s="337"/>
      <c r="AU226" s="337"/>
      <c r="AV226" s="337"/>
      <c r="AW226" s="337"/>
      <c r="AX226" s="337"/>
      <c r="AY226" s="337"/>
      <c r="AZ226" s="337"/>
      <c r="BA226" s="337"/>
      <c r="BB226" s="338"/>
      <c r="BC226" s="339"/>
      <c r="BD226" s="340"/>
      <c r="BE226" s="341"/>
    </row>
    <row r="227" spans="1:57" x14ac:dyDescent="0.3">
      <c r="A227" s="241" t="str">
        <f t="shared" si="5"/>
        <v/>
      </c>
      <c r="B227" s="364"/>
      <c r="C227" s="362"/>
      <c r="D227" s="363"/>
      <c r="E227" s="366"/>
      <c r="F227" s="327"/>
      <c r="G227" s="329"/>
      <c r="H227" s="329"/>
      <c r="I227" s="329"/>
      <c r="J227" s="329"/>
      <c r="K227" s="329"/>
      <c r="L227" s="329"/>
      <c r="M227" s="329"/>
      <c r="N227" s="329"/>
      <c r="O227" s="330"/>
      <c r="P227" s="330"/>
      <c r="Q227" s="331"/>
      <c r="R227" s="331"/>
      <c r="S227" s="331"/>
      <c r="T227" s="331"/>
      <c r="U227" s="331"/>
      <c r="V227" s="331"/>
      <c r="W227" s="331"/>
      <c r="X227" s="332"/>
      <c r="Y227" s="331"/>
      <c r="Z227" s="329"/>
      <c r="AA227" s="333"/>
      <c r="AB227" s="334"/>
      <c r="AC227" s="335"/>
      <c r="AD227" s="336"/>
      <c r="AE227" s="336"/>
      <c r="AF227" s="336"/>
      <c r="AG227" s="336"/>
      <c r="AH227" s="336"/>
      <c r="AI227" s="336"/>
      <c r="AJ227" s="336"/>
      <c r="AK227" s="336"/>
      <c r="AL227" s="336"/>
      <c r="AM227" s="336"/>
      <c r="AN227" s="336"/>
      <c r="AO227" s="336"/>
      <c r="AP227" s="337"/>
      <c r="AQ227" s="337"/>
      <c r="AR227" s="337"/>
      <c r="AS227" s="337"/>
      <c r="AT227" s="337"/>
      <c r="AU227" s="337"/>
      <c r="AV227" s="337"/>
      <c r="AW227" s="337"/>
      <c r="AX227" s="337"/>
      <c r="AY227" s="337"/>
      <c r="AZ227" s="337"/>
      <c r="BA227" s="337"/>
      <c r="BB227" s="338"/>
      <c r="BC227" s="339"/>
      <c r="BD227" s="340"/>
      <c r="BE227" s="341"/>
    </row>
    <row r="228" spans="1:57" x14ac:dyDescent="0.3">
      <c r="A228" s="241" t="str">
        <f t="shared" si="5"/>
        <v/>
      </c>
      <c r="B228" s="364"/>
      <c r="C228" s="362"/>
      <c r="D228" s="363"/>
      <c r="E228" s="366"/>
      <c r="F228" s="347"/>
      <c r="G228" s="329"/>
      <c r="H228" s="329"/>
      <c r="I228" s="329"/>
      <c r="J228" s="329"/>
      <c r="K228" s="329"/>
      <c r="L228" s="329"/>
      <c r="M228" s="329"/>
      <c r="N228" s="329"/>
      <c r="O228" s="330"/>
      <c r="P228" s="330"/>
      <c r="Q228" s="331"/>
      <c r="R228" s="331"/>
      <c r="S228" s="331"/>
      <c r="T228" s="331"/>
      <c r="U228" s="331"/>
      <c r="V228" s="331"/>
      <c r="W228" s="331"/>
      <c r="X228" s="332"/>
      <c r="Y228" s="331"/>
      <c r="Z228" s="329"/>
      <c r="AA228" s="333"/>
      <c r="AB228" s="334"/>
      <c r="AC228" s="335"/>
      <c r="AD228" s="336"/>
      <c r="AE228" s="336"/>
      <c r="AF228" s="336"/>
      <c r="AG228" s="336"/>
      <c r="AH228" s="336"/>
      <c r="AI228" s="336"/>
      <c r="AJ228" s="336"/>
      <c r="AK228" s="336"/>
      <c r="AL228" s="336"/>
      <c r="AM228" s="336"/>
      <c r="AN228" s="336"/>
      <c r="AO228" s="336"/>
      <c r="AP228" s="337"/>
      <c r="AQ228" s="337"/>
      <c r="AR228" s="337"/>
      <c r="AS228" s="337"/>
      <c r="AT228" s="337"/>
      <c r="AU228" s="337"/>
      <c r="AV228" s="337"/>
      <c r="AW228" s="337"/>
      <c r="AX228" s="337"/>
      <c r="AY228" s="337"/>
      <c r="AZ228" s="337"/>
      <c r="BA228" s="337"/>
      <c r="BB228" s="338"/>
      <c r="BC228" s="339"/>
      <c r="BD228" s="340"/>
      <c r="BE228" s="341"/>
    </row>
    <row r="229" spans="1:57" x14ac:dyDescent="0.3">
      <c r="A229" s="241" t="str">
        <f t="shared" si="5"/>
        <v/>
      </c>
      <c r="B229" s="371"/>
      <c r="C229" s="362"/>
      <c r="D229" s="363"/>
      <c r="E229" s="366"/>
      <c r="F229" s="347"/>
      <c r="G229" s="329"/>
      <c r="H229" s="329"/>
      <c r="I229" s="329"/>
      <c r="J229" s="329"/>
      <c r="K229" s="329"/>
      <c r="L229" s="329"/>
      <c r="M229" s="329"/>
      <c r="N229" s="329"/>
      <c r="O229" s="330"/>
      <c r="P229" s="330"/>
      <c r="Q229" s="331"/>
      <c r="R229" s="331"/>
      <c r="S229" s="331"/>
      <c r="T229" s="331"/>
      <c r="U229" s="331"/>
      <c r="V229" s="331"/>
      <c r="W229" s="331"/>
      <c r="X229" s="332"/>
      <c r="Y229" s="331"/>
      <c r="Z229" s="329"/>
      <c r="AA229" s="333"/>
      <c r="AB229" s="334"/>
      <c r="AC229" s="335"/>
      <c r="AD229" s="336"/>
      <c r="AE229" s="336"/>
      <c r="AF229" s="336"/>
      <c r="AG229" s="336"/>
      <c r="AH229" s="336"/>
      <c r="AI229" s="336"/>
      <c r="AJ229" s="336"/>
      <c r="AK229" s="336"/>
      <c r="AL229" s="336"/>
      <c r="AM229" s="336"/>
      <c r="AN229" s="336"/>
      <c r="AO229" s="336"/>
      <c r="AP229" s="337"/>
      <c r="AQ229" s="337"/>
      <c r="AR229" s="337"/>
      <c r="AS229" s="337"/>
      <c r="AT229" s="337"/>
      <c r="AU229" s="337"/>
      <c r="AV229" s="337"/>
      <c r="AW229" s="337"/>
      <c r="AX229" s="337"/>
      <c r="AY229" s="337"/>
      <c r="AZ229" s="337"/>
      <c r="BA229" s="337"/>
      <c r="BB229" s="338"/>
      <c r="BC229" s="339"/>
      <c r="BD229" s="340"/>
      <c r="BE229" s="341"/>
    </row>
    <row r="230" spans="1:57" x14ac:dyDescent="0.3">
      <c r="A230" s="241" t="str">
        <f t="shared" si="5"/>
        <v/>
      </c>
      <c r="B230" s="371"/>
      <c r="C230" s="362"/>
      <c r="D230" s="363"/>
      <c r="E230" s="366"/>
      <c r="F230" s="347"/>
      <c r="G230" s="329"/>
      <c r="H230" s="329"/>
      <c r="I230" s="329"/>
      <c r="J230" s="329"/>
      <c r="K230" s="329"/>
      <c r="L230" s="329"/>
      <c r="M230" s="329"/>
      <c r="N230" s="329"/>
      <c r="O230" s="330"/>
      <c r="P230" s="330"/>
      <c r="Q230" s="331"/>
      <c r="R230" s="331"/>
      <c r="S230" s="331"/>
      <c r="T230" s="331"/>
      <c r="U230" s="331"/>
      <c r="V230" s="331"/>
      <c r="W230" s="331"/>
      <c r="X230" s="332"/>
      <c r="Y230" s="331"/>
      <c r="Z230" s="329"/>
      <c r="AA230" s="333"/>
      <c r="AB230" s="334"/>
      <c r="AC230" s="335"/>
      <c r="AD230" s="336"/>
      <c r="AE230" s="336"/>
      <c r="AF230" s="336"/>
      <c r="AG230" s="336"/>
      <c r="AH230" s="336"/>
      <c r="AI230" s="336"/>
      <c r="AJ230" s="336"/>
      <c r="AK230" s="336"/>
      <c r="AL230" s="336"/>
      <c r="AM230" s="336"/>
      <c r="AN230" s="336"/>
      <c r="AO230" s="336"/>
      <c r="AP230" s="337"/>
      <c r="AQ230" s="337"/>
      <c r="AR230" s="337"/>
      <c r="AS230" s="337"/>
      <c r="AT230" s="337"/>
      <c r="AU230" s="337"/>
      <c r="AV230" s="337"/>
      <c r="AW230" s="337"/>
      <c r="AX230" s="337"/>
      <c r="AY230" s="337"/>
      <c r="AZ230" s="337"/>
      <c r="BA230" s="337"/>
      <c r="BB230" s="338"/>
      <c r="BC230" s="339"/>
      <c r="BD230" s="340"/>
      <c r="BE230" s="341"/>
    </row>
    <row r="231" spans="1:57" x14ac:dyDescent="0.3">
      <c r="A231" s="241" t="str">
        <f t="shared" si="5"/>
        <v/>
      </c>
      <c r="B231" s="371"/>
      <c r="C231" s="362"/>
      <c r="D231" s="363"/>
      <c r="E231" s="366"/>
      <c r="F231" s="347"/>
      <c r="G231" s="329"/>
      <c r="H231" s="329"/>
      <c r="I231" s="329"/>
      <c r="J231" s="329"/>
      <c r="K231" s="329"/>
      <c r="L231" s="329"/>
      <c r="M231" s="329"/>
      <c r="N231" s="329"/>
      <c r="O231" s="330"/>
      <c r="P231" s="330"/>
      <c r="Q231" s="331"/>
      <c r="R231" s="331"/>
      <c r="S231" s="331"/>
      <c r="T231" s="331"/>
      <c r="U231" s="331"/>
      <c r="V231" s="331"/>
      <c r="W231" s="331"/>
      <c r="X231" s="332"/>
      <c r="Y231" s="331"/>
      <c r="Z231" s="329"/>
      <c r="AA231" s="333"/>
      <c r="AB231" s="334"/>
      <c r="AC231" s="335"/>
      <c r="AD231" s="336"/>
      <c r="AE231" s="336"/>
      <c r="AF231" s="336"/>
      <c r="AG231" s="336"/>
      <c r="AH231" s="336"/>
      <c r="AI231" s="336"/>
      <c r="AJ231" s="336"/>
      <c r="AK231" s="336"/>
      <c r="AL231" s="336"/>
      <c r="AM231" s="336"/>
      <c r="AN231" s="336"/>
      <c r="AO231" s="336"/>
      <c r="AP231" s="337"/>
      <c r="AQ231" s="337"/>
      <c r="AR231" s="337"/>
      <c r="AS231" s="337"/>
      <c r="AT231" s="337"/>
      <c r="AU231" s="337"/>
      <c r="AV231" s="337"/>
      <c r="AW231" s="337"/>
      <c r="AX231" s="337"/>
      <c r="AY231" s="337"/>
      <c r="AZ231" s="337"/>
      <c r="BA231" s="337"/>
      <c r="BB231" s="338"/>
      <c r="BC231" s="339"/>
      <c r="BD231" s="340"/>
      <c r="BE231" s="341"/>
    </row>
    <row r="232" spans="1:57" x14ac:dyDescent="0.3">
      <c r="A232" s="241" t="str">
        <f t="shared" si="5"/>
        <v/>
      </c>
      <c r="B232" s="371"/>
      <c r="C232" s="362"/>
      <c r="D232" s="363"/>
      <c r="E232" s="366"/>
      <c r="F232" s="347"/>
      <c r="G232" s="329"/>
      <c r="H232" s="329"/>
      <c r="I232" s="329"/>
      <c r="J232" s="329"/>
      <c r="K232" s="329"/>
      <c r="L232" s="329"/>
      <c r="M232" s="329"/>
      <c r="N232" s="329"/>
      <c r="O232" s="330"/>
      <c r="P232" s="330"/>
      <c r="Q232" s="331"/>
      <c r="R232" s="331"/>
      <c r="S232" s="331"/>
      <c r="T232" s="331"/>
      <c r="U232" s="331"/>
      <c r="V232" s="331"/>
      <c r="W232" s="331"/>
      <c r="X232" s="332"/>
      <c r="Y232" s="331"/>
      <c r="Z232" s="329"/>
      <c r="AA232" s="333"/>
      <c r="AB232" s="334"/>
      <c r="AC232" s="335"/>
      <c r="AD232" s="336"/>
      <c r="AE232" s="336"/>
      <c r="AF232" s="336"/>
      <c r="AG232" s="336"/>
      <c r="AH232" s="336"/>
      <c r="AI232" s="336"/>
      <c r="AJ232" s="336"/>
      <c r="AK232" s="336"/>
      <c r="AL232" s="336"/>
      <c r="AM232" s="336"/>
      <c r="AN232" s="336"/>
      <c r="AO232" s="336"/>
      <c r="AP232" s="337"/>
      <c r="AQ232" s="337"/>
      <c r="AR232" s="337"/>
      <c r="AS232" s="337"/>
      <c r="AT232" s="337"/>
      <c r="AU232" s="337"/>
      <c r="AV232" s="337"/>
      <c r="AW232" s="337"/>
      <c r="AX232" s="337"/>
      <c r="AY232" s="337"/>
      <c r="AZ232" s="337"/>
      <c r="BA232" s="337"/>
      <c r="BB232" s="338"/>
      <c r="BC232" s="339"/>
      <c r="BD232" s="340"/>
      <c r="BE232" s="341"/>
    </row>
    <row r="233" spans="1:57" x14ac:dyDescent="0.3">
      <c r="A233" s="241" t="str">
        <f t="shared" si="5"/>
        <v/>
      </c>
      <c r="B233" s="364"/>
      <c r="C233" s="362"/>
      <c r="D233" s="363"/>
      <c r="E233" s="366"/>
      <c r="F233" s="329"/>
      <c r="G233" s="329"/>
      <c r="H233" s="329"/>
      <c r="I233" s="329"/>
      <c r="J233" s="329"/>
      <c r="K233" s="329"/>
      <c r="L233" s="329"/>
      <c r="M233" s="329"/>
      <c r="N233" s="329"/>
      <c r="O233" s="330"/>
      <c r="P233" s="330"/>
      <c r="Q233" s="331"/>
      <c r="R233" s="331"/>
      <c r="S233" s="331"/>
      <c r="T233" s="331"/>
      <c r="U233" s="331"/>
      <c r="V233" s="331"/>
      <c r="W233" s="331"/>
      <c r="X233" s="332"/>
      <c r="Y233" s="331"/>
      <c r="Z233" s="329"/>
      <c r="AA233" s="333"/>
      <c r="AB233" s="334"/>
      <c r="AC233" s="335"/>
      <c r="AD233" s="336"/>
      <c r="AE233" s="336"/>
      <c r="AF233" s="336"/>
      <c r="AG233" s="336"/>
      <c r="AH233" s="336"/>
      <c r="AI233" s="336"/>
      <c r="AJ233" s="336"/>
      <c r="AK233" s="336"/>
      <c r="AL233" s="336"/>
      <c r="AM233" s="336"/>
      <c r="AN233" s="336"/>
      <c r="AO233" s="336"/>
      <c r="AP233" s="337"/>
      <c r="AQ233" s="337"/>
      <c r="AR233" s="337"/>
      <c r="AS233" s="337"/>
      <c r="AT233" s="337"/>
      <c r="AU233" s="337"/>
      <c r="AV233" s="337"/>
      <c r="AW233" s="337"/>
      <c r="AX233" s="337"/>
      <c r="AY233" s="337"/>
      <c r="AZ233" s="337"/>
      <c r="BA233" s="337"/>
      <c r="BB233" s="338"/>
      <c r="BC233" s="339"/>
      <c r="BD233" s="340"/>
      <c r="BE233" s="341"/>
    </row>
    <row r="234" spans="1:57" x14ac:dyDescent="0.3">
      <c r="A234" s="241" t="str">
        <f t="shared" si="5"/>
        <v/>
      </c>
      <c r="B234" s="364"/>
      <c r="C234" s="362"/>
      <c r="D234" s="363"/>
      <c r="E234" s="366"/>
      <c r="F234" s="327"/>
      <c r="G234" s="329"/>
      <c r="H234" s="329"/>
      <c r="I234" s="329"/>
      <c r="J234" s="329"/>
      <c r="K234" s="329"/>
      <c r="L234" s="329"/>
      <c r="M234" s="329"/>
      <c r="N234" s="329"/>
      <c r="O234" s="330"/>
      <c r="P234" s="330"/>
      <c r="Q234" s="331"/>
      <c r="R234" s="331"/>
      <c r="S234" s="331"/>
      <c r="T234" s="331"/>
      <c r="U234" s="331"/>
      <c r="V234" s="331"/>
      <c r="W234" s="331"/>
      <c r="X234" s="332"/>
      <c r="Y234" s="331"/>
      <c r="Z234" s="329"/>
      <c r="AA234" s="333"/>
      <c r="AB234" s="334"/>
      <c r="AC234" s="335"/>
      <c r="AD234" s="336"/>
      <c r="AE234" s="336"/>
      <c r="AF234" s="336"/>
      <c r="AG234" s="336"/>
      <c r="AH234" s="336"/>
      <c r="AI234" s="336"/>
      <c r="AJ234" s="336"/>
      <c r="AK234" s="336"/>
      <c r="AL234" s="336"/>
      <c r="AM234" s="336"/>
      <c r="AN234" s="336"/>
      <c r="AO234" s="336"/>
      <c r="AP234" s="337"/>
      <c r="AQ234" s="337"/>
      <c r="AR234" s="337"/>
      <c r="AS234" s="337"/>
      <c r="AT234" s="337"/>
      <c r="AU234" s="337"/>
      <c r="AV234" s="337"/>
      <c r="AW234" s="337"/>
      <c r="AX234" s="337"/>
      <c r="AY234" s="337"/>
      <c r="AZ234" s="337"/>
      <c r="BA234" s="337"/>
      <c r="BB234" s="338"/>
      <c r="BC234" s="339"/>
      <c r="BD234" s="340"/>
      <c r="BE234" s="341"/>
    </row>
    <row r="235" spans="1:57" x14ac:dyDescent="0.3">
      <c r="A235" s="241" t="str">
        <f t="shared" si="5"/>
        <v/>
      </c>
      <c r="B235" s="371"/>
      <c r="C235" s="362"/>
      <c r="D235" s="363"/>
      <c r="E235" s="366"/>
      <c r="F235" s="347"/>
      <c r="G235" s="329"/>
      <c r="H235" s="329"/>
      <c r="I235" s="329"/>
      <c r="J235" s="329"/>
      <c r="K235" s="329"/>
      <c r="L235" s="329"/>
      <c r="M235" s="329"/>
      <c r="N235" s="329"/>
      <c r="O235" s="330"/>
      <c r="P235" s="330"/>
      <c r="Q235" s="331"/>
      <c r="R235" s="331"/>
      <c r="S235" s="331"/>
      <c r="T235" s="331"/>
      <c r="U235" s="331"/>
      <c r="V235" s="331"/>
      <c r="W235" s="331"/>
      <c r="X235" s="332"/>
      <c r="Y235" s="331"/>
      <c r="Z235" s="329"/>
      <c r="AA235" s="333"/>
      <c r="AB235" s="334"/>
      <c r="AC235" s="335"/>
      <c r="AD235" s="336"/>
      <c r="AE235" s="336"/>
      <c r="AF235" s="336"/>
      <c r="AG235" s="336"/>
      <c r="AH235" s="336"/>
      <c r="AI235" s="336"/>
      <c r="AJ235" s="336"/>
      <c r="AK235" s="336"/>
      <c r="AL235" s="336"/>
      <c r="AM235" s="336"/>
      <c r="AN235" s="336"/>
      <c r="AO235" s="336"/>
      <c r="AP235" s="337"/>
      <c r="AQ235" s="337"/>
      <c r="AR235" s="337"/>
      <c r="AS235" s="337"/>
      <c r="AT235" s="337"/>
      <c r="AU235" s="337"/>
      <c r="AV235" s="337"/>
      <c r="AW235" s="337"/>
      <c r="AX235" s="337"/>
      <c r="AY235" s="337"/>
      <c r="AZ235" s="337"/>
      <c r="BA235" s="337"/>
      <c r="BB235" s="338"/>
      <c r="BC235" s="339"/>
      <c r="BD235" s="340"/>
      <c r="BE235" s="341"/>
    </row>
    <row r="236" spans="1:57" x14ac:dyDescent="0.3">
      <c r="A236" s="241" t="str">
        <f t="shared" si="5"/>
        <v/>
      </c>
      <c r="B236" s="371"/>
      <c r="C236" s="362"/>
      <c r="D236" s="363"/>
      <c r="E236" s="366"/>
      <c r="F236" s="347"/>
      <c r="G236" s="329"/>
      <c r="H236" s="329"/>
      <c r="I236" s="329"/>
      <c r="J236" s="329"/>
      <c r="K236" s="329"/>
      <c r="L236" s="329"/>
      <c r="M236" s="329"/>
      <c r="N236" s="329"/>
      <c r="O236" s="330"/>
      <c r="P236" s="330"/>
      <c r="Q236" s="331"/>
      <c r="R236" s="331"/>
      <c r="S236" s="331"/>
      <c r="T236" s="331"/>
      <c r="U236" s="331"/>
      <c r="V236" s="331"/>
      <c r="W236" s="331"/>
      <c r="X236" s="332"/>
      <c r="Y236" s="331"/>
      <c r="Z236" s="329"/>
      <c r="AA236" s="333"/>
      <c r="AB236" s="334"/>
      <c r="AC236" s="335"/>
      <c r="AD236" s="336"/>
      <c r="AE236" s="336"/>
      <c r="AF236" s="336"/>
      <c r="AG236" s="336"/>
      <c r="AH236" s="336"/>
      <c r="AI236" s="336"/>
      <c r="AJ236" s="336"/>
      <c r="AK236" s="336"/>
      <c r="AL236" s="336"/>
      <c r="AM236" s="336"/>
      <c r="AN236" s="336"/>
      <c r="AO236" s="336"/>
      <c r="AP236" s="337"/>
      <c r="AQ236" s="337"/>
      <c r="AR236" s="337"/>
      <c r="AS236" s="337"/>
      <c r="AT236" s="337"/>
      <c r="AU236" s="337"/>
      <c r="AV236" s="337"/>
      <c r="AW236" s="337"/>
      <c r="AX236" s="337"/>
      <c r="AY236" s="337"/>
      <c r="AZ236" s="337"/>
      <c r="BA236" s="337"/>
      <c r="BB236" s="338"/>
      <c r="BC236" s="339"/>
      <c r="BD236" s="340"/>
      <c r="BE236" s="341"/>
    </row>
    <row r="237" spans="1:57" x14ac:dyDescent="0.3">
      <c r="A237" s="241" t="str">
        <f t="shared" si="5"/>
        <v/>
      </c>
      <c r="B237" s="371"/>
      <c r="C237" s="362"/>
      <c r="D237" s="363"/>
      <c r="E237" s="366"/>
      <c r="F237" s="347"/>
      <c r="G237" s="329"/>
      <c r="H237" s="329"/>
      <c r="I237" s="329"/>
      <c r="J237" s="329"/>
      <c r="K237" s="329"/>
      <c r="L237" s="329"/>
      <c r="M237" s="329"/>
      <c r="N237" s="329"/>
      <c r="O237" s="330"/>
      <c r="P237" s="330"/>
      <c r="Q237" s="331"/>
      <c r="R237" s="331"/>
      <c r="S237" s="331"/>
      <c r="T237" s="331"/>
      <c r="U237" s="331"/>
      <c r="V237" s="331"/>
      <c r="W237" s="331"/>
      <c r="X237" s="332"/>
      <c r="Y237" s="331"/>
      <c r="Z237" s="329"/>
      <c r="AA237" s="333"/>
      <c r="AB237" s="334"/>
      <c r="AC237" s="335"/>
      <c r="AD237" s="336"/>
      <c r="AE237" s="336"/>
      <c r="AF237" s="336"/>
      <c r="AG237" s="336"/>
      <c r="AH237" s="336"/>
      <c r="AI237" s="336"/>
      <c r="AJ237" s="336"/>
      <c r="AK237" s="336"/>
      <c r="AL237" s="336"/>
      <c r="AM237" s="336"/>
      <c r="AN237" s="336"/>
      <c r="AO237" s="336"/>
      <c r="AP237" s="337"/>
      <c r="AQ237" s="337"/>
      <c r="AR237" s="337"/>
      <c r="AS237" s="337"/>
      <c r="AT237" s="337"/>
      <c r="AU237" s="337"/>
      <c r="AV237" s="337"/>
      <c r="AW237" s="337"/>
      <c r="AX237" s="337"/>
      <c r="AY237" s="337"/>
      <c r="AZ237" s="337"/>
      <c r="BA237" s="337"/>
      <c r="BB237" s="338"/>
      <c r="BC237" s="339"/>
      <c r="BD237" s="340"/>
      <c r="BE237" s="341"/>
    </row>
    <row r="238" spans="1:57" x14ac:dyDescent="0.3">
      <c r="A238" s="241" t="str">
        <f t="shared" si="5"/>
        <v/>
      </c>
      <c r="B238" s="371"/>
      <c r="C238" s="362"/>
      <c r="D238" s="363"/>
      <c r="E238" s="366"/>
      <c r="F238" s="347"/>
      <c r="G238" s="329"/>
      <c r="H238" s="329"/>
      <c r="I238" s="329"/>
      <c r="J238" s="329"/>
      <c r="K238" s="329"/>
      <c r="L238" s="329"/>
      <c r="M238" s="329"/>
      <c r="N238" s="329"/>
      <c r="O238" s="330"/>
      <c r="P238" s="330"/>
      <c r="Q238" s="331"/>
      <c r="R238" s="331"/>
      <c r="S238" s="331"/>
      <c r="T238" s="331"/>
      <c r="U238" s="331"/>
      <c r="V238" s="331"/>
      <c r="W238" s="331"/>
      <c r="X238" s="332"/>
      <c r="Y238" s="331"/>
      <c r="Z238" s="329"/>
      <c r="AA238" s="333"/>
      <c r="AB238" s="334"/>
      <c r="AC238" s="335"/>
      <c r="AD238" s="336"/>
      <c r="AE238" s="336"/>
      <c r="AF238" s="336"/>
      <c r="AG238" s="336"/>
      <c r="AH238" s="336"/>
      <c r="AI238" s="336"/>
      <c r="AJ238" s="336"/>
      <c r="AK238" s="336"/>
      <c r="AL238" s="336"/>
      <c r="AM238" s="336"/>
      <c r="AN238" s="336"/>
      <c r="AO238" s="336"/>
      <c r="AP238" s="337"/>
      <c r="AQ238" s="337"/>
      <c r="AR238" s="337"/>
      <c r="AS238" s="337"/>
      <c r="AT238" s="337"/>
      <c r="AU238" s="337"/>
      <c r="AV238" s="337"/>
      <c r="AW238" s="337"/>
      <c r="AX238" s="337"/>
      <c r="AY238" s="337"/>
      <c r="AZ238" s="337"/>
      <c r="BA238" s="337"/>
      <c r="BB238" s="338"/>
      <c r="BC238" s="339"/>
      <c r="BD238" s="340"/>
      <c r="BE238" s="341"/>
    </row>
    <row r="239" spans="1:57" x14ac:dyDescent="0.3">
      <c r="A239" s="241" t="str">
        <f t="shared" si="5"/>
        <v/>
      </c>
      <c r="B239" s="364"/>
      <c r="C239" s="362"/>
      <c r="D239" s="363"/>
      <c r="E239" s="366"/>
      <c r="F239" s="347"/>
      <c r="G239" s="329"/>
      <c r="H239" s="329"/>
      <c r="I239" s="329"/>
      <c r="J239" s="329"/>
      <c r="K239" s="329"/>
      <c r="L239" s="329"/>
      <c r="M239" s="329"/>
      <c r="N239" s="329"/>
      <c r="O239" s="330"/>
      <c r="P239" s="330"/>
      <c r="Q239" s="331"/>
      <c r="R239" s="331"/>
      <c r="S239" s="331"/>
      <c r="T239" s="331"/>
      <c r="U239" s="331"/>
      <c r="V239" s="331"/>
      <c r="W239" s="331"/>
      <c r="X239" s="332"/>
      <c r="Y239" s="331"/>
      <c r="Z239" s="329"/>
      <c r="AA239" s="333"/>
      <c r="AB239" s="334"/>
      <c r="AC239" s="335"/>
      <c r="AD239" s="336"/>
      <c r="AE239" s="336"/>
      <c r="AF239" s="336"/>
      <c r="AG239" s="336"/>
      <c r="AH239" s="336"/>
      <c r="AI239" s="336"/>
      <c r="AJ239" s="336"/>
      <c r="AK239" s="336"/>
      <c r="AL239" s="336"/>
      <c r="AM239" s="336"/>
      <c r="AN239" s="336"/>
      <c r="AO239" s="336"/>
      <c r="AP239" s="337"/>
      <c r="AQ239" s="337"/>
      <c r="AR239" s="337"/>
      <c r="AS239" s="337"/>
      <c r="AT239" s="337"/>
      <c r="AU239" s="337"/>
      <c r="AV239" s="337"/>
      <c r="AW239" s="337"/>
      <c r="AX239" s="337"/>
      <c r="AY239" s="337"/>
      <c r="AZ239" s="337"/>
      <c r="BA239" s="337"/>
      <c r="BB239" s="338"/>
      <c r="BC239" s="339"/>
      <c r="BD239" s="340"/>
      <c r="BE239" s="341"/>
    </row>
    <row r="240" spans="1:57" x14ac:dyDescent="0.3">
      <c r="A240" s="241" t="str">
        <f t="shared" si="5"/>
        <v/>
      </c>
      <c r="B240" s="364"/>
      <c r="C240" s="362"/>
      <c r="D240" s="363"/>
      <c r="E240" s="366"/>
      <c r="F240" s="327"/>
      <c r="G240" s="329"/>
      <c r="H240" s="329"/>
      <c r="I240" s="329"/>
      <c r="J240" s="329"/>
      <c r="K240" s="329"/>
      <c r="L240" s="329"/>
      <c r="M240" s="329"/>
      <c r="N240" s="329"/>
      <c r="O240" s="330"/>
      <c r="P240" s="330"/>
      <c r="Q240" s="331"/>
      <c r="R240" s="331"/>
      <c r="S240" s="331"/>
      <c r="T240" s="331"/>
      <c r="U240" s="331"/>
      <c r="V240" s="331"/>
      <c r="W240" s="331"/>
      <c r="X240" s="332"/>
      <c r="Y240" s="331"/>
      <c r="Z240" s="329"/>
      <c r="AA240" s="333"/>
      <c r="AB240" s="334"/>
      <c r="AC240" s="335"/>
      <c r="AD240" s="336"/>
      <c r="AE240" s="336"/>
      <c r="AF240" s="336"/>
      <c r="AG240" s="336"/>
      <c r="AH240" s="336"/>
      <c r="AI240" s="336"/>
      <c r="AJ240" s="336"/>
      <c r="AK240" s="336"/>
      <c r="AL240" s="336"/>
      <c r="AM240" s="336"/>
      <c r="AN240" s="336"/>
      <c r="AO240" s="336"/>
      <c r="AP240" s="337"/>
      <c r="AQ240" s="337"/>
      <c r="AR240" s="337"/>
      <c r="AS240" s="337"/>
      <c r="AT240" s="337"/>
      <c r="AU240" s="337"/>
      <c r="AV240" s="337"/>
      <c r="AW240" s="337"/>
      <c r="AX240" s="337"/>
      <c r="AY240" s="337"/>
      <c r="AZ240" s="337"/>
      <c r="BA240" s="337"/>
      <c r="BB240" s="338"/>
      <c r="BC240" s="339"/>
      <c r="BD240" s="340"/>
      <c r="BE240" s="341"/>
    </row>
    <row r="241" spans="1:57" x14ac:dyDescent="0.3">
      <c r="A241" s="241" t="str">
        <f t="shared" si="5"/>
        <v/>
      </c>
      <c r="B241" s="371"/>
      <c r="C241" s="362"/>
      <c r="D241" s="363"/>
      <c r="E241" s="366"/>
      <c r="F241" s="347"/>
      <c r="G241" s="329"/>
      <c r="H241" s="329"/>
      <c r="I241" s="329"/>
      <c r="J241" s="329"/>
      <c r="K241" s="329"/>
      <c r="L241" s="329"/>
      <c r="M241" s="329"/>
      <c r="N241" s="329"/>
      <c r="O241" s="330"/>
      <c r="P241" s="330"/>
      <c r="Q241" s="331"/>
      <c r="R241" s="331"/>
      <c r="S241" s="331"/>
      <c r="T241" s="331"/>
      <c r="U241" s="331"/>
      <c r="V241" s="331"/>
      <c r="W241" s="331"/>
      <c r="X241" s="332"/>
      <c r="Y241" s="331"/>
      <c r="Z241" s="329"/>
      <c r="AA241" s="333"/>
      <c r="AB241" s="334"/>
      <c r="AC241" s="335"/>
      <c r="AD241" s="336"/>
      <c r="AE241" s="336"/>
      <c r="AF241" s="336"/>
      <c r="AG241" s="336"/>
      <c r="AH241" s="336"/>
      <c r="AI241" s="336"/>
      <c r="AJ241" s="336"/>
      <c r="AK241" s="336"/>
      <c r="AL241" s="336"/>
      <c r="AM241" s="336"/>
      <c r="AN241" s="336"/>
      <c r="AO241" s="336"/>
      <c r="AP241" s="337"/>
      <c r="AQ241" s="337"/>
      <c r="AR241" s="337"/>
      <c r="AS241" s="337"/>
      <c r="AT241" s="337"/>
      <c r="AU241" s="337"/>
      <c r="AV241" s="337"/>
      <c r="AW241" s="337"/>
      <c r="AX241" s="337"/>
      <c r="AY241" s="337"/>
      <c r="AZ241" s="337"/>
      <c r="BA241" s="337"/>
      <c r="BB241" s="338"/>
      <c r="BC241" s="339"/>
      <c r="BD241" s="340"/>
      <c r="BE241" s="341"/>
    </row>
    <row r="242" spans="1:57" x14ac:dyDescent="0.3">
      <c r="A242" s="241" t="str">
        <f t="shared" si="5"/>
        <v/>
      </c>
      <c r="B242" s="371"/>
      <c r="C242" s="362"/>
      <c r="D242" s="363"/>
      <c r="E242" s="366"/>
      <c r="F242" s="347"/>
      <c r="G242" s="329"/>
      <c r="H242" s="329"/>
      <c r="I242" s="329"/>
      <c r="J242" s="329"/>
      <c r="K242" s="329"/>
      <c r="L242" s="329"/>
      <c r="M242" s="329"/>
      <c r="N242" s="329"/>
      <c r="O242" s="330"/>
      <c r="P242" s="330"/>
      <c r="Q242" s="331"/>
      <c r="R242" s="331"/>
      <c r="S242" s="331"/>
      <c r="T242" s="331"/>
      <c r="U242" s="331"/>
      <c r="V242" s="331"/>
      <c r="W242" s="331"/>
      <c r="X242" s="332"/>
      <c r="Y242" s="331"/>
      <c r="Z242" s="329"/>
      <c r="AA242" s="333"/>
      <c r="AB242" s="334"/>
      <c r="AC242" s="335"/>
      <c r="AD242" s="336"/>
      <c r="AE242" s="336"/>
      <c r="AF242" s="336"/>
      <c r="AG242" s="336"/>
      <c r="AH242" s="336"/>
      <c r="AI242" s="336"/>
      <c r="AJ242" s="336"/>
      <c r="AK242" s="336"/>
      <c r="AL242" s="336"/>
      <c r="AM242" s="336"/>
      <c r="AN242" s="336"/>
      <c r="AO242" s="336"/>
      <c r="AP242" s="337"/>
      <c r="AQ242" s="337"/>
      <c r="AR242" s="337"/>
      <c r="AS242" s="337"/>
      <c r="AT242" s="337"/>
      <c r="AU242" s="337"/>
      <c r="AV242" s="337"/>
      <c r="AW242" s="337"/>
      <c r="AX242" s="337"/>
      <c r="AY242" s="337"/>
      <c r="AZ242" s="337"/>
      <c r="BA242" s="337"/>
      <c r="BB242" s="338"/>
      <c r="BC242" s="339"/>
      <c r="BD242" s="340"/>
      <c r="BE242" s="341"/>
    </row>
    <row r="243" spans="1:57" x14ac:dyDescent="0.3">
      <c r="A243" s="241" t="str">
        <f t="shared" si="5"/>
        <v/>
      </c>
      <c r="B243" s="371"/>
      <c r="C243" s="362"/>
      <c r="D243" s="363"/>
      <c r="E243" s="366"/>
      <c r="F243" s="347"/>
      <c r="G243" s="329"/>
      <c r="H243" s="329"/>
      <c r="I243" s="329"/>
      <c r="J243" s="329"/>
      <c r="K243" s="329"/>
      <c r="L243" s="329"/>
      <c r="M243" s="329"/>
      <c r="N243" s="329"/>
      <c r="O243" s="330"/>
      <c r="P243" s="330"/>
      <c r="Q243" s="331"/>
      <c r="R243" s="331"/>
      <c r="S243" s="331"/>
      <c r="T243" s="331"/>
      <c r="U243" s="331"/>
      <c r="V243" s="331"/>
      <c r="W243" s="331"/>
      <c r="X243" s="332"/>
      <c r="Y243" s="331"/>
      <c r="Z243" s="329"/>
      <c r="AA243" s="333"/>
      <c r="AB243" s="334"/>
      <c r="AC243" s="335"/>
      <c r="AD243" s="336"/>
      <c r="AE243" s="336"/>
      <c r="AF243" s="336"/>
      <c r="AG243" s="336"/>
      <c r="AH243" s="336"/>
      <c r="AI243" s="336"/>
      <c r="AJ243" s="336"/>
      <c r="AK243" s="336"/>
      <c r="AL243" s="336"/>
      <c r="AM243" s="336"/>
      <c r="AN243" s="336"/>
      <c r="AO243" s="336"/>
      <c r="AP243" s="337"/>
      <c r="AQ243" s="337"/>
      <c r="AR243" s="337"/>
      <c r="AS243" s="337"/>
      <c r="AT243" s="337"/>
      <c r="AU243" s="337"/>
      <c r="AV243" s="337"/>
      <c r="AW243" s="337"/>
      <c r="AX243" s="337"/>
      <c r="AY243" s="337"/>
      <c r="AZ243" s="337"/>
      <c r="BA243" s="337"/>
      <c r="BB243" s="338"/>
      <c r="BC243" s="339"/>
      <c r="BD243" s="340"/>
      <c r="BE243" s="341"/>
    </row>
    <row r="244" spans="1:57" x14ac:dyDescent="0.3">
      <c r="A244" s="241" t="str">
        <f t="shared" si="5"/>
        <v/>
      </c>
      <c r="B244" s="371"/>
      <c r="C244" s="362"/>
      <c r="D244" s="363"/>
      <c r="E244" s="366"/>
      <c r="F244" s="347"/>
      <c r="G244" s="329"/>
      <c r="H244" s="329"/>
      <c r="I244" s="329"/>
      <c r="J244" s="329"/>
      <c r="K244" s="329"/>
      <c r="L244" s="329"/>
      <c r="M244" s="329"/>
      <c r="N244" s="329"/>
      <c r="O244" s="330"/>
      <c r="P244" s="330"/>
      <c r="Q244" s="331"/>
      <c r="R244" s="331"/>
      <c r="S244" s="331"/>
      <c r="T244" s="331"/>
      <c r="U244" s="331"/>
      <c r="V244" s="331"/>
      <c r="W244" s="331"/>
      <c r="X244" s="332"/>
      <c r="Y244" s="331"/>
      <c r="Z244" s="329"/>
      <c r="AA244" s="333"/>
      <c r="AB244" s="334"/>
      <c r="AC244" s="335"/>
      <c r="AD244" s="336"/>
      <c r="AE244" s="336"/>
      <c r="AF244" s="336"/>
      <c r="AG244" s="336"/>
      <c r="AH244" s="336"/>
      <c r="AI244" s="336"/>
      <c r="AJ244" s="336"/>
      <c r="AK244" s="336"/>
      <c r="AL244" s="336"/>
      <c r="AM244" s="336"/>
      <c r="AN244" s="336"/>
      <c r="AO244" s="336"/>
      <c r="AP244" s="337"/>
      <c r="AQ244" s="337"/>
      <c r="AR244" s="337"/>
      <c r="AS244" s="337"/>
      <c r="AT244" s="337"/>
      <c r="AU244" s="337"/>
      <c r="AV244" s="337"/>
      <c r="AW244" s="337"/>
      <c r="AX244" s="337"/>
      <c r="AY244" s="337"/>
      <c r="AZ244" s="337"/>
      <c r="BA244" s="337"/>
      <c r="BB244" s="338"/>
      <c r="BC244" s="339"/>
      <c r="BD244" s="340"/>
      <c r="BE244" s="341"/>
    </row>
    <row r="245" spans="1:57" x14ac:dyDescent="0.3">
      <c r="A245" s="241" t="str">
        <f t="shared" si="5"/>
        <v/>
      </c>
      <c r="B245" s="364"/>
      <c r="C245" s="362"/>
      <c r="D245" s="363"/>
      <c r="E245" s="366"/>
      <c r="F245" s="329"/>
      <c r="G245" s="329"/>
      <c r="H245" s="329"/>
      <c r="I245" s="329"/>
      <c r="J245" s="329"/>
      <c r="K245" s="329"/>
      <c r="L245" s="329"/>
      <c r="M245" s="329"/>
      <c r="N245" s="329"/>
      <c r="O245" s="330"/>
      <c r="P245" s="330"/>
      <c r="Q245" s="331"/>
      <c r="R245" s="331"/>
      <c r="S245" s="331"/>
      <c r="T245" s="331"/>
      <c r="U245" s="331"/>
      <c r="V245" s="331"/>
      <c r="W245" s="331"/>
      <c r="X245" s="332"/>
      <c r="Y245" s="331"/>
      <c r="Z245" s="329"/>
      <c r="AA245" s="333"/>
      <c r="AB245" s="334"/>
      <c r="AC245" s="335"/>
      <c r="AD245" s="336"/>
      <c r="AE245" s="336"/>
      <c r="AF245" s="336"/>
      <c r="AG245" s="336"/>
      <c r="AH245" s="336"/>
      <c r="AI245" s="336"/>
      <c r="AJ245" s="336"/>
      <c r="AK245" s="336"/>
      <c r="AL245" s="336"/>
      <c r="AM245" s="336"/>
      <c r="AN245" s="336"/>
      <c r="AO245" s="336"/>
      <c r="AP245" s="337"/>
      <c r="AQ245" s="337"/>
      <c r="AR245" s="337"/>
      <c r="AS245" s="337"/>
      <c r="AT245" s="337"/>
      <c r="AU245" s="337"/>
      <c r="AV245" s="337"/>
      <c r="AW245" s="337"/>
      <c r="AX245" s="337"/>
      <c r="AY245" s="337"/>
      <c r="AZ245" s="337"/>
      <c r="BA245" s="337"/>
      <c r="BB245" s="338"/>
      <c r="BC245" s="339"/>
      <c r="BD245" s="340"/>
      <c r="BE245" s="341"/>
    </row>
    <row r="246" spans="1:57" x14ac:dyDescent="0.3">
      <c r="A246" s="241" t="str">
        <f t="shared" si="5"/>
        <v/>
      </c>
      <c r="B246" s="364"/>
      <c r="C246" s="362"/>
      <c r="D246" s="363"/>
      <c r="E246" s="366"/>
      <c r="F246" s="347"/>
      <c r="G246" s="329"/>
      <c r="H246" s="329"/>
      <c r="I246" s="329"/>
      <c r="J246" s="329"/>
      <c r="K246" s="329"/>
      <c r="L246" s="329"/>
      <c r="M246" s="329"/>
      <c r="N246" s="329"/>
      <c r="O246" s="330"/>
      <c r="P246" s="330"/>
      <c r="Q246" s="331"/>
      <c r="R246" s="331"/>
      <c r="S246" s="331"/>
      <c r="T246" s="331"/>
      <c r="U246" s="331"/>
      <c r="V246" s="331"/>
      <c r="W246" s="331"/>
      <c r="X246" s="332"/>
      <c r="Y246" s="331"/>
      <c r="Z246" s="329"/>
      <c r="AA246" s="333"/>
      <c r="AB246" s="334"/>
      <c r="AC246" s="335"/>
      <c r="AD246" s="336"/>
      <c r="AE246" s="336"/>
      <c r="AF246" s="336"/>
      <c r="AG246" s="336"/>
      <c r="AH246" s="336"/>
      <c r="AI246" s="336"/>
      <c r="AJ246" s="336"/>
      <c r="AK246" s="336"/>
      <c r="AL246" s="336"/>
      <c r="AM246" s="336"/>
      <c r="AN246" s="336"/>
      <c r="AO246" s="336"/>
      <c r="AP246" s="337"/>
      <c r="AQ246" s="337"/>
      <c r="AR246" s="337"/>
      <c r="AS246" s="337"/>
      <c r="AT246" s="337"/>
      <c r="AU246" s="337"/>
      <c r="AV246" s="337"/>
      <c r="AW246" s="337"/>
      <c r="AX246" s="337"/>
      <c r="AY246" s="337"/>
      <c r="AZ246" s="337"/>
      <c r="BA246" s="337"/>
      <c r="BB246" s="338"/>
      <c r="BC246" s="339"/>
      <c r="BD246" s="340"/>
      <c r="BE246" s="341"/>
    </row>
    <row r="247" spans="1:57" x14ac:dyDescent="0.3">
      <c r="A247" s="241" t="str">
        <f t="shared" si="5"/>
        <v/>
      </c>
      <c r="B247" s="364"/>
      <c r="C247" s="362"/>
      <c r="D247" s="363"/>
      <c r="E247" s="366"/>
      <c r="F247" s="347"/>
      <c r="G247" s="329"/>
      <c r="H247" s="329"/>
      <c r="I247" s="329"/>
      <c r="J247" s="329"/>
      <c r="K247" s="329"/>
      <c r="L247" s="329"/>
      <c r="M247" s="329"/>
      <c r="N247" s="329"/>
      <c r="O247" s="330"/>
      <c r="P247" s="330"/>
      <c r="Q247" s="331"/>
      <c r="R247" s="331"/>
      <c r="S247" s="331"/>
      <c r="T247" s="331"/>
      <c r="U247" s="331"/>
      <c r="V247" s="331"/>
      <c r="W247" s="331"/>
      <c r="X247" s="332"/>
      <c r="Y247" s="331"/>
      <c r="Z247" s="329"/>
      <c r="AA247" s="333"/>
      <c r="AB247" s="334"/>
      <c r="AC247" s="335"/>
      <c r="AD247" s="336"/>
      <c r="AE247" s="336"/>
      <c r="AF247" s="336"/>
      <c r="AG247" s="336"/>
      <c r="AH247" s="336"/>
      <c r="AI247" s="336"/>
      <c r="AJ247" s="336"/>
      <c r="AK247" s="336"/>
      <c r="AL247" s="336"/>
      <c r="AM247" s="336"/>
      <c r="AN247" s="336"/>
      <c r="AO247" s="336"/>
      <c r="AP247" s="337"/>
      <c r="AQ247" s="337"/>
      <c r="AR247" s="337"/>
      <c r="AS247" s="337"/>
      <c r="AT247" s="337"/>
      <c r="AU247" s="337"/>
      <c r="AV247" s="337"/>
      <c r="AW247" s="337"/>
      <c r="AX247" s="337"/>
      <c r="AY247" s="337"/>
      <c r="AZ247" s="337"/>
      <c r="BA247" s="337"/>
      <c r="BB247" s="338"/>
      <c r="BC247" s="339"/>
      <c r="BD247" s="340"/>
      <c r="BE247" s="341"/>
    </row>
    <row r="248" spans="1:57" x14ac:dyDescent="0.3">
      <c r="A248" s="241" t="str">
        <f t="shared" si="5"/>
        <v/>
      </c>
      <c r="B248" s="371"/>
      <c r="C248" s="362"/>
      <c r="D248" s="363"/>
      <c r="E248" s="365"/>
      <c r="F248" s="327"/>
      <c r="G248" s="329"/>
      <c r="H248" s="329"/>
      <c r="I248" s="329"/>
      <c r="J248" s="329"/>
      <c r="K248" s="329"/>
      <c r="L248" s="329"/>
      <c r="M248" s="329"/>
      <c r="N248" s="329"/>
      <c r="O248" s="330"/>
      <c r="P248" s="330"/>
      <c r="Q248" s="331"/>
      <c r="R248" s="331"/>
      <c r="S248" s="331"/>
      <c r="T248" s="331"/>
      <c r="U248" s="331"/>
      <c r="V248" s="331"/>
      <c r="W248" s="331"/>
      <c r="X248" s="332"/>
      <c r="Y248" s="331"/>
      <c r="Z248" s="329"/>
      <c r="AA248" s="333"/>
      <c r="AB248" s="334"/>
      <c r="AC248" s="335"/>
      <c r="AD248" s="336"/>
      <c r="AE248" s="336"/>
      <c r="AF248" s="336"/>
      <c r="AG248" s="336"/>
      <c r="AH248" s="336"/>
      <c r="AI248" s="336"/>
      <c r="AJ248" s="336"/>
      <c r="AK248" s="336"/>
      <c r="AL248" s="336"/>
      <c r="AM248" s="336"/>
      <c r="AN248" s="336"/>
      <c r="AO248" s="336"/>
      <c r="AP248" s="337"/>
      <c r="AQ248" s="337"/>
      <c r="AR248" s="337"/>
      <c r="AS248" s="337"/>
      <c r="AT248" s="337"/>
      <c r="AU248" s="337"/>
      <c r="AV248" s="337"/>
      <c r="AW248" s="337"/>
      <c r="AX248" s="337"/>
      <c r="AY248" s="337"/>
      <c r="AZ248" s="337"/>
      <c r="BA248" s="337"/>
      <c r="BB248" s="338"/>
      <c r="BC248" s="339"/>
      <c r="BD248" s="340"/>
      <c r="BE248" s="341"/>
    </row>
    <row r="249" spans="1:57" x14ac:dyDescent="0.3">
      <c r="A249" s="241" t="str">
        <f t="shared" si="5"/>
        <v/>
      </c>
      <c r="B249" s="364"/>
      <c r="C249" s="362"/>
      <c r="D249" s="363"/>
      <c r="E249" s="366"/>
      <c r="F249" s="327"/>
      <c r="G249" s="329"/>
      <c r="H249" s="329"/>
      <c r="I249" s="329"/>
      <c r="J249" s="329"/>
      <c r="K249" s="329"/>
      <c r="L249" s="329"/>
      <c r="M249" s="329"/>
      <c r="N249" s="329"/>
      <c r="O249" s="330"/>
      <c r="P249" s="330"/>
      <c r="Q249" s="331"/>
      <c r="R249" s="331"/>
      <c r="S249" s="331"/>
      <c r="T249" s="331"/>
      <c r="U249" s="331"/>
      <c r="V249" s="331"/>
      <c r="W249" s="331"/>
      <c r="X249" s="332"/>
      <c r="Y249" s="331"/>
      <c r="Z249" s="329"/>
      <c r="AA249" s="333"/>
      <c r="AB249" s="334"/>
      <c r="AC249" s="335"/>
      <c r="AD249" s="336"/>
      <c r="AE249" s="336"/>
      <c r="AF249" s="336"/>
      <c r="AG249" s="336"/>
      <c r="AH249" s="336"/>
      <c r="AI249" s="336"/>
      <c r="AJ249" s="336"/>
      <c r="AK249" s="336"/>
      <c r="AL249" s="336"/>
      <c r="AM249" s="336"/>
      <c r="AN249" s="336"/>
      <c r="AO249" s="336"/>
      <c r="AP249" s="337"/>
      <c r="AQ249" s="337"/>
      <c r="AR249" s="337"/>
      <c r="AS249" s="337"/>
      <c r="AT249" s="337"/>
      <c r="AU249" s="337"/>
      <c r="AV249" s="337"/>
      <c r="AW249" s="337"/>
      <c r="AX249" s="337"/>
      <c r="AY249" s="337"/>
      <c r="AZ249" s="337"/>
      <c r="BA249" s="337"/>
      <c r="BB249" s="338"/>
      <c r="BC249" s="339"/>
      <c r="BD249" s="340"/>
      <c r="BE249" s="32"/>
    </row>
    <row r="250" spans="1:57" x14ac:dyDescent="0.3">
      <c r="A250" s="241" t="str">
        <f t="shared" si="5"/>
        <v/>
      </c>
      <c r="B250" s="364"/>
      <c r="C250" s="362"/>
      <c r="D250" s="363"/>
      <c r="E250" s="366"/>
      <c r="F250" s="327"/>
      <c r="G250" s="329"/>
      <c r="H250" s="329"/>
      <c r="I250" s="329"/>
      <c r="J250" s="329"/>
      <c r="K250" s="329"/>
      <c r="L250" s="329"/>
      <c r="M250" s="329"/>
      <c r="N250" s="329"/>
      <c r="O250" s="330"/>
      <c r="P250" s="330"/>
      <c r="Q250" s="331"/>
      <c r="R250" s="331"/>
      <c r="S250" s="331"/>
      <c r="T250" s="331"/>
      <c r="U250" s="331"/>
      <c r="V250" s="331"/>
      <c r="W250" s="331"/>
      <c r="X250" s="332"/>
      <c r="Y250" s="331"/>
      <c r="Z250" s="329"/>
      <c r="AA250" s="333"/>
      <c r="AB250" s="334"/>
      <c r="AC250" s="335"/>
      <c r="AD250" s="336"/>
      <c r="AE250" s="336"/>
      <c r="AF250" s="336"/>
      <c r="AG250" s="336"/>
      <c r="AH250" s="336"/>
      <c r="AI250" s="336"/>
      <c r="AJ250" s="336"/>
      <c r="AK250" s="336"/>
      <c r="AL250" s="336"/>
      <c r="AM250" s="336"/>
      <c r="AN250" s="336"/>
      <c r="AO250" s="336"/>
      <c r="AP250" s="337"/>
      <c r="AQ250" s="337"/>
      <c r="AR250" s="337"/>
      <c r="AS250" s="337"/>
      <c r="AT250" s="337"/>
      <c r="AU250" s="337"/>
      <c r="AV250" s="337"/>
      <c r="AW250" s="337"/>
      <c r="AX250" s="337"/>
      <c r="AY250" s="337"/>
      <c r="AZ250" s="337"/>
      <c r="BA250" s="337"/>
      <c r="BB250" s="338"/>
      <c r="BC250" s="339"/>
      <c r="BD250" s="340"/>
      <c r="BE250" s="32"/>
    </row>
    <row r="251" spans="1:57" x14ac:dyDescent="0.3">
      <c r="A251" s="241" t="str">
        <f t="shared" si="5"/>
        <v/>
      </c>
      <c r="B251" s="364"/>
      <c r="C251" s="362"/>
      <c r="D251" s="363"/>
      <c r="E251" s="366"/>
      <c r="F251" s="327"/>
      <c r="G251" s="329"/>
      <c r="H251" s="329"/>
      <c r="I251" s="329"/>
      <c r="J251" s="329"/>
      <c r="K251" s="329"/>
      <c r="L251" s="329"/>
      <c r="M251" s="329"/>
      <c r="N251" s="329"/>
      <c r="O251" s="330"/>
      <c r="P251" s="330"/>
      <c r="Q251" s="331"/>
      <c r="R251" s="331"/>
      <c r="S251" s="331"/>
      <c r="T251" s="331"/>
      <c r="U251" s="331"/>
      <c r="V251" s="331"/>
      <c r="W251" s="331"/>
      <c r="X251" s="332"/>
      <c r="Y251" s="331"/>
      <c r="Z251" s="329"/>
      <c r="AA251" s="333"/>
      <c r="AB251" s="334"/>
      <c r="AC251" s="335"/>
      <c r="AD251" s="336"/>
      <c r="AE251" s="336"/>
      <c r="AF251" s="336"/>
      <c r="AG251" s="336"/>
      <c r="AH251" s="336"/>
      <c r="AI251" s="336"/>
      <c r="AJ251" s="336"/>
      <c r="AK251" s="336"/>
      <c r="AL251" s="336"/>
      <c r="AM251" s="336"/>
      <c r="AN251" s="336"/>
      <c r="AO251" s="336"/>
      <c r="AP251" s="337"/>
      <c r="AQ251" s="337"/>
      <c r="AR251" s="337"/>
      <c r="AS251" s="337"/>
      <c r="AT251" s="337"/>
      <c r="AU251" s="337"/>
      <c r="AV251" s="337"/>
      <c r="AW251" s="337"/>
      <c r="AX251" s="337"/>
      <c r="AY251" s="337"/>
      <c r="AZ251" s="337"/>
      <c r="BA251" s="337"/>
      <c r="BB251" s="338"/>
      <c r="BC251" s="339"/>
      <c r="BD251" s="340"/>
      <c r="BE251" s="32"/>
    </row>
    <row r="252" spans="1:57" x14ac:dyDescent="0.3">
      <c r="A252" s="241" t="str">
        <f t="shared" si="5"/>
        <v/>
      </c>
      <c r="B252" s="364"/>
      <c r="C252" s="362"/>
      <c r="D252" s="363"/>
      <c r="E252" s="366"/>
      <c r="F252" s="327"/>
      <c r="G252" s="329"/>
      <c r="H252" s="329"/>
      <c r="I252" s="329"/>
      <c r="J252" s="329"/>
      <c r="K252" s="329"/>
      <c r="L252" s="329"/>
      <c r="M252" s="329"/>
      <c r="N252" s="329"/>
      <c r="O252" s="330"/>
      <c r="P252" s="330"/>
      <c r="Q252" s="331"/>
      <c r="R252" s="331"/>
      <c r="S252" s="331"/>
      <c r="T252" s="331"/>
      <c r="U252" s="331"/>
      <c r="V252" s="331"/>
      <c r="W252" s="331"/>
      <c r="X252" s="332"/>
      <c r="Y252" s="331"/>
      <c r="Z252" s="329"/>
      <c r="AA252" s="333"/>
      <c r="AB252" s="334"/>
      <c r="AC252" s="335"/>
      <c r="AD252" s="336"/>
      <c r="AE252" s="336"/>
      <c r="AF252" s="336"/>
      <c r="AG252" s="336"/>
      <c r="AH252" s="336"/>
      <c r="AI252" s="336"/>
      <c r="AJ252" s="336"/>
      <c r="AK252" s="336"/>
      <c r="AL252" s="336"/>
      <c r="AM252" s="336"/>
      <c r="AN252" s="336"/>
      <c r="AO252" s="336"/>
      <c r="AP252" s="337"/>
      <c r="AQ252" s="337"/>
      <c r="AR252" s="337"/>
      <c r="AS252" s="337"/>
      <c r="AT252" s="337"/>
      <c r="AU252" s="337"/>
      <c r="AV252" s="337"/>
      <c r="AW252" s="337"/>
      <c r="AX252" s="337"/>
      <c r="AY252" s="337"/>
      <c r="AZ252" s="337"/>
      <c r="BA252" s="337"/>
      <c r="BB252" s="338"/>
      <c r="BC252" s="339"/>
      <c r="BD252" s="340"/>
      <c r="BE252" s="32"/>
    </row>
    <row r="253" spans="1:57" x14ac:dyDescent="0.3">
      <c r="A253" s="241" t="str">
        <f t="shared" si="5"/>
        <v/>
      </c>
      <c r="B253" s="364"/>
      <c r="C253" s="362"/>
      <c r="D253" s="363"/>
      <c r="E253" s="365"/>
      <c r="F253" s="327"/>
      <c r="G253" s="329"/>
      <c r="H253" s="329"/>
      <c r="I253" s="329"/>
      <c r="J253" s="329"/>
      <c r="K253" s="329"/>
      <c r="L253" s="329"/>
      <c r="M253" s="329"/>
      <c r="N253" s="329"/>
      <c r="O253" s="330"/>
      <c r="P253" s="330"/>
      <c r="Q253" s="331"/>
      <c r="R253" s="331"/>
      <c r="S253" s="331"/>
      <c r="T253" s="331"/>
      <c r="U253" s="331"/>
      <c r="V253" s="331"/>
      <c r="W253" s="331"/>
      <c r="X253" s="332"/>
      <c r="Y253" s="331"/>
      <c r="Z253" s="329"/>
      <c r="AA253" s="333"/>
      <c r="AB253" s="334"/>
      <c r="AC253" s="335"/>
      <c r="AD253" s="336"/>
      <c r="AE253" s="336"/>
      <c r="AF253" s="336"/>
      <c r="AG253" s="336"/>
      <c r="AH253" s="336"/>
      <c r="AI253" s="336"/>
      <c r="AJ253" s="336"/>
      <c r="AK253" s="336"/>
      <c r="AL253" s="336"/>
      <c r="AM253" s="336"/>
      <c r="AN253" s="336"/>
      <c r="AO253" s="336"/>
      <c r="AP253" s="337"/>
      <c r="AQ253" s="337"/>
      <c r="AR253" s="337"/>
      <c r="AS253" s="337"/>
      <c r="AT253" s="337"/>
      <c r="AU253" s="337"/>
      <c r="AV253" s="337"/>
      <c r="AW253" s="337"/>
      <c r="AX253" s="337"/>
      <c r="AY253" s="337"/>
      <c r="AZ253" s="337"/>
      <c r="BA253" s="337"/>
      <c r="BB253" s="338"/>
      <c r="BC253" s="339"/>
      <c r="BD253" s="340"/>
      <c r="BE253" s="341"/>
    </row>
    <row r="254" spans="1:57" x14ac:dyDescent="0.3">
      <c r="A254" s="241" t="str">
        <f t="shared" si="5"/>
        <v/>
      </c>
      <c r="B254" s="364"/>
      <c r="C254" s="362"/>
      <c r="D254" s="363"/>
      <c r="E254" s="365"/>
      <c r="F254" s="327"/>
      <c r="G254" s="329"/>
      <c r="H254" s="329"/>
      <c r="I254" s="329"/>
      <c r="J254" s="329"/>
      <c r="K254" s="329"/>
      <c r="L254" s="329"/>
      <c r="M254" s="329"/>
      <c r="N254" s="329"/>
      <c r="O254" s="330"/>
      <c r="P254" s="330"/>
      <c r="Q254" s="331"/>
      <c r="R254" s="331"/>
      <c r="S254" s="331"/>
      <c r="T254" s="331"/>
      <c r="U254" s="331"/>
      <c r="V254" s="331"/>
      <c r="W254" s="331"/>
      <c r="X254" s="332"/>
      <c r="Y254" s="331"/>
      <c r="Z254" s="329"/>
      <c r="AA254" s="333"/>
      <c r="AB254" s="334"/>
      <c r="AC254" s="335"/>
      <c r="AD254" s="336"/>
      <c r="AE254" s="336"/>
      <c r="AF254" s="336"/>
      <c r="AG254" s="336"/>
      <c r="AH254" s="336"/>
      <c r="AI254" s="336"/>
      <c r="AJ254" s="336"/>
      <c r="AK254" s="336"/>
      <c r="AL254" s="336"/>
      <c r="AM254" s="336"/>
      <c r="AN254" s="336"/>
      <c r="AO254" s="336"/>
      <c r="AP254" s="337"/>
      <c r="AQ254" s="337"/>
      <c r="AR254" s="337"/>
      <c r="AS254" s="337"/>
      <c r="AT254" s="337"/>
      <c r="AU254" s="337"/>
      <c r="AV254" s="337"/>
      <c r="AW254" s="337"/>
      <c r="AX254" s="337"/>
      <c r="AY254" s="337"/>
      <c r="AZ254" s="337"/>
      <c r="BA254" s="337"/>
      <c r="BB254" s="338"/>
      <c r="BC254" s="339"/>
      <c r="BD254" s="340"/>
      <c r="BE254" s="341"/>
    </row>
    <row r="255" spans="1:57" x14ac:dyDescent="0.3">
      <c r="A255" s="241" t="str">
        <f t="shared" si="5"/>
        <v/>
      </c>
      <c r="B255" s="364"/>
      <c r="C255" s="362"/>
      <c r="D255" s="363"/>
      <c r="E255" s="365"/>
      <c r="F255" s="327"/>
      <c r="G255" s="329"/>
      <c r="H255" s="329"/>
      <c r="I255" s="329"/>
      <c r="J255" s="329"/>
      <c r="K255" s="329"/>
      <c r="L255" s="329"/>
      <c r="M255" s="329"/>
      <c r="N255" s="329"/>
      <c r="O255" s="330"/>
      <c r="P255" s="330"/>
      <c r="Q255" s="331"/>
      <c r="R255" s="331"/>
      <c r="S255" s="331"/>
      <c r="T255" s="331"/>
      <c r="U255" s="331"/>
      <c r="V255" s="331"/>
      <c r="W255" s="331"/>
      <c r="X255" s="332"/>
      <c r="Y255" s="331"/>
      <c r="Z255" s="329"/>
      <c r="AA255" s="333"/>
      <c r="AB255" s="334"/>
      <c r="AC255" s="335"/>
      <c r="AD255" s="336"/>
      <c r="AE255" s="336"/>
      <c r="AF255" s="336"/>
      <c r="AG255" s="336"/>
      <c r="AH255" s="336"/>
      <c r="AI255" s="336"/>
      <c r="AJ255" s="336"/>
      <c r="AK255" s="336"/>
      <c r="AL255" s="336"/>
      <c r="AM255" s="336"/>
      <c r="AN255" s="336"/>
      <c r="AO255" s="336"/>
      <c r="AP255" s="337"/>
      <c r="AQ255" s="337"/>
      <c r="AR255" s="337"/>
      <c r="AS255" s="337"/>
      <c r="AT255" s="337"/>
      <c r="AU255" s="337"/>
      <c r="AV255" s="337"/>
      <c r="AW255" s="337"/>
      <c r="AX255" s="337"/>
      <c r="AY255" s="337"/>
      <c r="AZ255" s="337"/>
      <c r="BA255" s="337"/>
      <c r="BB255" s="338"/>
      <c r="BC255" s="339"/>
      <c r="BD255" s="340"/>
      <c r="BE255" s="341"/>
    </row>
    <row r="256" spans="1:57" x14ac:dyDescent="0.3">
      <c r="A256" s="241" t="str">
        <f t="shared" si="5"/>
        <v/>
      </c>
      <c r="B256" s="364"/>
      <c r="C256" s="362"/>
      <c r="D256" s="363"/>
      <c r="E256" s="366"/>
      <c r="F256" s="327"/>
      <c r="G256" s="329"/>
      <c r="H256" s="329"/>
      <c r="I256" s="329"/>
      <c r="J256" s="329"/>
      <c r="K256" s="329"/>
      <c r="L256" s="329"/>
      <c r="M256" s="329"/>
      <c r="N256" s="329"/>
      <c r="O256" s="330"/>
      <c r="P256" s="330"/>
      <c r="Q256" s="331"/>
      <c r="R256" s="331"/>
      <c r="S256" s="331"/>
      <c r="T256" s="331"/>
      <c r="U256" s="331"/>
      <c r="V256" s="331"/>
      <c r="W256" s="331"/>
      <c r="X256" s="332"/>
      <c r="Y256" s="331"/>
      <c r="Z256" s="329"/>
      <c r="AA256" s="333"/>
      <c r="AB256" s="334"/>
      <c r="AC256" s="335"/>
      <c r="AD256" s="336"/>
      <c r="AE256" s="336"/>
      <c r="AF256" s="336"/>
      <c r="AG256" s="336"/>
      <c r="AH256" s="336"/>
      <c r="AI256" s="336"/>
      <c r="AJ256" s="336"/>
      <c r="AK256" s="336"/>
      <c r="AL256" s="336"/>
      <c r="AM256" s="336"/>
      <c r="AN256" s="336"/>
      <c r="AO256" s="336"/>
      <c r="AP256" s="337"/>
      <c r="AQ256" s="337"/>
      <c r="AR256" s="337"/>
      <c r="AS256" s="337"/>
      <c r="AT256" s="337"/>
      <c r="AU256" s="337"/>
      <c r="AV256" s="337"/>
      <c r="AW256" s="337"/>
      <c r="AX256" s="337"/>
      <c r="AY256" s="337"/>
      <c r="AZ256" s="337"/>
      <c r="BA256" s="337"/>
      <c r="BB256" s="338"/>
      <c r="BC256" s="339"/>
      <c r="BD256" s="340"/>
      <c r="BE256" s="32"/>
    </row>
    <row r="257" spans="1:57" x14ac:dyDescent="0.3">
      <c r="A257" s="241" t="str">
        <f t="shared" si="5"/>
        <v/>
      </c>
      <c r="B257" s="364"/>
      <c r="C257" s="362"/>
      <c r="D257" s="363"/>
      <c r="E257" s="366"/>
      <c r="F257" s="327"/>
      <c r="G257" s="329"/>
      <c r="H257" s="329"/>
      <c r="I257" s="329"/>
      <c r="J257" s="329"/>
      <c r="K257" s="329"/>
      <c r="L257" s="329"/>
      <c r="M257" s="329"/>
      <c r="N257" s="329"/>
      <c r="O257" s="330"/>
      <c r="P257" s="330"/>
      <c r="Q257" s="331"/>
      <c r="R257" s="331"/>
      <c r="S257" s="331"/>
      <c r="T257" s="331"/>
      <c r="U257" s="331"/>
      <c r="V257" s="331"/>
      <c r="W257" s="331"/>
      <c r="X257" s="332"/>
      <c r="Y257" s="331"/>
      <c r="Z257" s="329"/>
      <c r="AA257" s="333"/>
      <c r="AB257" s="334"/>
      <c r="AC257" s="335"/>
      <c r="AD257" s="336"/>
      <c r="AE257" s="336"/>
      <c r="AF257" s="336"/>
      <c r="AG257" s="336"/>
      <c r="AH257" s="336"/>
      <c r="AI257" s="336"/>
      <c r="AJ257" s="336"/>
      <c r="AK257" s="336"/>
      <c r="AL257" s="336"/>
      <c r="AM257" s="336"/>
      <c r="AN257" s="336"/>
      <c r="AO257" s="336"/>
      <c r="AP257" s="337"/>
      <c r="AQ257" s="337"/>
      <c r="AR257" s="337"/>
      <c r="AS257" s="337"/>
      <c r="AT257" s="337"/>
      <c r="AU257" s="337"/>
      <c r="AV257" s="337"/>
      <c r="AW257" s="337"/>
      <c r="AX257" s="337"/>
      <c r="AY257" s="337"/>
      <c r="AZ257" s="337"/>
      <c r="BA257" s="337"/>
      <c r="BB257" s="338"/>
      <c r="BC257" s="339"/>
      <c r="BD257" s="340"/>
      <c r="BE257" s="32"/>
    </row>
    <row r="258" spans="1:57" x14ac:dyDescent="0.3">
      <c r="A258" s="241" t="str">
        <f t="shared" si="5"/>
        <v/>
      </c>
      <c r="B258" s="364"/>
      <c r="C258" s="362"/>
      <c r="D258" s="363"/>
      <c r="E258" s="366"/>
      <c r="F258" s="327"/>
      <c r="G258" s="329"/>
      <c r="H258" s="329"/>
      <c r="I258" s="329"/>
      <c r="J258" s="329"/>
      <c r="K258" s="329"/>
      <c r="L258" s="329"/>
      <c r="M258" s="329"/>
      <c r="N258" s="329"/>
      <c r="O258" s="330"/>
      <c r="P258" s="330"/>
      <c r="Q258" s="331"/>
      <c r="R258" s="331"/>
      <c r="S258" s="331"/>
      <c r="T258" s="331"/>
      <c r="U258" s="331"/>
      <c r="V258" s="331"/>
      <c r="W258" s="331"/>
      <c r="X258" s="332"/>
      <c r="Y258" s="331"/>
      <c r="Z258" s="329"/>
      <c r="AA258" s="333"/>
      <c r="AB258" s="334"/>
      <c r="AC258" s="335"/>
      <c r="AD258" s="336"/>
      <c r="AE258" s="336"/>
      <c r="AF258" s="336"/>
      <c r="AG258" s="336"/>
      <c r="AH258" s="336"/>
      <c r="AI258" s="336"/>
      <c r="AJ258" s="336"/>
      <c r="AK258" s="336"/>
      <c r="AL258" s="336"/>
      <c r="AM258" s="336"/>
      <c r="AN258" s="336"/>
      <c r="AO258" s="336"/>
      <c r="AP258" s="337"/>
      <c r="AQ258" s="337"/>
      <c r="AR258" s="337"/>
      <c r="AS258" s="337"/>
      <c r="AT258" s="337"/>
      <c r="AU258" s="337"/>
      <c r="AV258" s="337"/>
      <c r="AW258" s="337"/>
      <c r="AX258" s="337"/>
      <c r="AY258" s="337"/>
      <c r="AZ258" s="337"/>
      <c r="BA258" s="337"/>
      <c r="BB258" s="338"/>
      <c r="BC258" s="339"/>
      <c r="BD258" s="340"/>
      <c r="BE258" s="32"/>
    </row>
    <row r="259" spans="1:57" x14ac:dyDescent="0.3">
      <c r="A259" s="241" t="str">
        <f t="shared" si="5"/>
        <v/>
      </c>
      <c r="B259" s="364"/>
      <c r="C259" s="362"/>
      <c r="D259" s="363"/>
      <c r="E259" s="366"/>
      <c r="F259" s="327"/>
      <c r="G259" s="329"/>
      <c r="H259" s="329"/>
      <c r="I259" s="329"/>
      <c r="J259" s="329"/>
      <c r="K259" s="329"/>
      <c r="L259" s="329"/>
      <c r="M259" s="329"/>
      <c r="N259" s="329"/>
      <c r="O259" s="330"/>
      <c r="P259" s="330"/>
      <c r="Q259" s="331"/>
      <c r="R259" s="331"/>
      <c r="S259" s="331"/>
      <c r="T259" s="331"/>
      <c r="U259" s="331"/>
      <c r="V259" s="331"/>
      <c r="W259" s="331"/>
      <c r="X259" s="332"/>
      <c r="Y259" s="331"/>
      <c r="Z259" s="329"/>
      <c r="AA259" s="333"/>
      <c r="AB259" s="334"/>
      <c r="AC259" s="335"/>
      <c r="AD259" s="336"/>
      <c r="AE259" s="336"/>
      <c r="AF259" s="336"/>
      <c r="AG259" s="336"/>
      <c r="AH259" s="336"/>
      <c r="AI259" s="336"/>
      <c r="AJ259" s="336"/>
      <c r="AK259" s="336"/>
      <c r="AL259" s="336"/>
      <c r="AM259" s="336"/>
      <c r="AN259" s="336"/>
      <c r="AO259" s="336"/>
      <c r="AP259" s="337"/>
      <c r="AQ259" s="337"/>
      <c r="AR259" s="337"/>
      <c r="AS259" s="337"/>
      <c r="AT259" s="337"/>
      <c r="AU259" s="337"/>
      <c r="AV259" s="337"/>
      <c r="AW259" s="337"/>
      <c r="AX259" s="337"/>
      <c r="AY259" s="337"/>
      <c r="AZ259" s="337"/>
      <c r="BA259" s="337"/>
      <c r="BB259" s="338"/>
      <c r="BC259" s="339"/>
      <c r="BD259" s="340"/>
      <c r="BE259" s="32"/>
    </row>
    <row r="260" spans="1:57" x14ac:dyDescent="0.3">
      <c r="A260" s="241" t="str">
        <f t="shared" si="5"/>
        <v/>
      </c>
      <c r="B260" s="364"/>
      <c r="C260" s="362"/>
      <c r="D260" s="363"/>
      <c r="E260" s="365"/>
      <c r="F260" s="329"/>
      <c r="G260" s="329"/>
      <c r="H260" s="329"/>
      <c r="I260" s="329"/>
      <c r="J260" s="329"/>
      <c r="K260" s="329"/>
      <c r="L260" s="329"/>
      <c r="M260" s="329"/>
      <c r="N260" s="329"/>
      <c r="O260" s="330"/>
      <c r="P260" s="330"/>
      <c r="Q260" s="331"/>
      <c r="R260" s="331"/>
      <c r="S260" s="331"/>
      <c r="T260" s="331"/>
      <c r="U260" s="331"/>
      <c r="V260" s="331"/>
      <c r="W260" s="331"/>
      <c r="X260" s="332"/>
      <c r="Y260" s="331"/>
      <c r="Z260" s="329"/>
      <c r="AA260" s="333"/>
      <c r="AB260" s="334"/>
      <c r="AC260" s="335"/>
      <c r="AD260" s="336"/>
      <c r="AE260" s="336"/>
      <c r="AF260" s="336"/>
      <c r="AG260" s="336"/>
      <c r="AH260" s="336"/>
      <c r="AI260" s="336"/>
      <c r="AJ260" s="336"/>
      <c r="AK260" s="336"/>
      <c r="AL260" s="336"/>
      <c r="AM260" s="336"/>
      <c r="AN260" s="336"/>
      <c r="AO260" s="336"/>
      <c r="AP260" s="337"/>
      <c r="AQ260" s="337"/>
      <c r="AR260" s="337"/>
      <c r="AS260" s="337"/>
      <c r="AT260" s="337"/>
      <c r="AU260" s="337"/>
      <c r="AV260" s="337"/>
      <c r="AW260" s="337"/>
      <c r="AX260" s="337"/>
      <c r="AY260" s="337"/>
      <c r="AZ260" s="337"/>
      <c r="BA260" s="337"/>
      <c r="BB260" s="338"/>
      <c r="BC260" s="339"/>
      <c r="BD260" s="340"/>
      <c r="BE260" s="341"/>
    </row>
    <row r="261" spans="1:57" x14ac:dyDescent="0.3">
      <c r="A261" s="241" t="str">
        <f t="shared" si="5"/>
        <v/>
      </c>
      <c r="B261" s="364"/>
      <c r="C261" s="362"/>
      <c r="D261" s="363"/>
      <c r="E261" s="365"/>
      <c r="F261" s="327"/>
      <c r="G261" s="329"/>
      <c r="H261" s="329"/>
      <c r="I261" s="329"/>
      <c r="J261" s="329"/>
      <c r="K261" s="329"/>
      <c r="L261" s="329"/>
      <c r="M261" s="329"/>
      <c r="N261" s="329"/>
      <c r="O261" s="330"/>
      <c r="P261" s="330"/>
      <c r="Q261" s="331"/>
      <c r="R261" s="331"/>
      <c r="S261" s="331"/>
      <c r="T261" s="331"/>
      <c r="U261" s="331"/>
      <c r="V261" s="331"/>
      <c r="W261" s="331"/>
      <c r="X261" s="332"/>
      <c r="Y261" s="331"/>
      <c r="Z261" s="329"/>
      <c r="AA261" s="333"/>
      <c r="AB261" s="334"/>
      <c r="AC261" s="335"/>
      <c r="AD261" s="336"/>
      <c r="AE261" s="336"/>
      <c r="AF261" s="336"/>
      <c r="AG261" s="336"/>
      <c r="AH261" s="336"/>
      <c r="AI261" s="336"/>
      <c r="AJ261" s="336"/>
      <c r="AK261" s="336"/>
      <c r="AL261" s="336"/>
      <c r="AM261" s="336"/>
      <c r="AN261" s="336"/>
      <c r="AO261" s="336"/>
      <c r="AP261" s="337"/>
      <c r="AQ261" s="337"/>
      <c r="AR261" s="337"/>
      <c r="AS261" s="337"/>
      <c r="AT261" s="337"/>
      <c r="AU261" s="337"/>
      <c r="AV261" s="337"/>
      <c r="AW261" s="337"/>
      <c r="AX261" s="337"/>
      <c r="AY261" s="337"/>
      <c r="AZ261" s="337"/>
      <c r="BA261" s="337"/>
      <c r="BB261" s="338"/>
      <c r="BC261" s="339"/>
      <c r="BD261" s="340"/>
      <c r="BE261" s="341"/>
    </row>
    <row r="262" spans="1:57" x14ac:dyDescent="0.3">
      <c r="A262" s="241" t="str">
        <f t="shared" si="5"/>
        <v/>
      </c>
      <c r="B262" s="364"/>
      <c r="C262" s="362"/>
      <c r="D262" s="363"/>
      <c r="E262" s="365"/>
      <c r="F262" s="327"/>
      <c r="G262" s="329"/>
      <c r="H262" s="329"/>
      <c r="I262" s="329"/>
      <c r="J262" s="329"/>
      <c r="K262" s="329"/>
      <c r="L262" s="329"/>
      <c r="M262" s="329"/>
      <c r="N262" s="329"/>
      <c r="O262" s="330"/>
      <c r="P262" s="330"/>
      <c r="Q262" s="331"/>
      <c r="R262" s="331"/>
      <c r="S262" s="331"/>
      <c r="T262" s="331"/>
      <c r="U262" s="331"/>
      <c r="V262" s="331"/>
      <c r="W262" s="331"/>
      <c r="X262" s="332"/>
      <c r="Y262" s="331"/>
      <c r="Z262" s="329"/>
      <c r="AA262" s="333"/>
      <c r="AB262" s="334"/>
      <c r="AC262" s="335"/>
      <c r="AD262" s="336"/>
      <c r="AE262" s="336"/>
      <c r="AF262" s="336"/>
      <c r="AG262" s="336"/>
      <c r="AH262" s="336"/>
      <c r="AI262" s="336"/>
      <c r="AJ262" s="336"/>
      <c r="AK262" s="336"/>
      <c r="AL262" s="336"/>
      <c r="AM262" s="336"/>
      <c r="AN262" s="336"/>
      <c r="AO262" s="336"/>
      <c r="AP262" s="337"/>
      <c r="AQ262" s="337"/>
      <c r="AR262" s="337"/>
      <c r="AS262" s="337"/>
      <c r="AT262" s="337"/>
      <c r="AU262" s="337"/>
      <c r="AV262" s="337"/>
      <c r="AW262" s="337"/>
      <c r="AX262" s="337"/>
      <c r="AY262" s="337"/>
      <c r="AZ262" s="337"/>
      <c r="BA262" s="337"/>
      <c r="BB262" s="338"/>
      <c r="BC262" s="339"/>
      <c r="BD262" s="340"/>
      <c r="BE262" s="341"/>
    </row>
    <row r="263" spans="1:57" x14ac:dyDescent="0.3">
      <c r="A263" s="241" t="str">
        <f t="shared" si="5"/>
        <v/>
      </c>
      <c r="B263" s="364"/>
      <c r="C263" s="362"/>
      <c r="D263" s="363"/>
      <c r="E263" s="365"/>
      <c r="F263" s="327"/>
      <c r="G263" s="329"/>
      <c r="H263" s="329"/>
      <c r="I263" s="329"/>
      <c r="J263" s="329"/>
      <c r="K263" s="329"/>
      <c r="L263" s="329"/>
      <c r="M263" s="329"/>
      <c r="N263" s="329"/>
      <c r="O263" s="330"/>
      <c r="P263" s="330"/>
      <c r="Q263" s="331"/>
      <c r="R263" s="331"/>
      <c r="S263" s="331"/>
      <c r="T263" s="331"/>
      <c r="U263" s="331"/>
      <c r="V263" s="331"/>
      <c r="W263" s="331"/>
      <c r="X263" s="332"/>
      <c r="Y263" s="331"/>
      <c r="Z263" s="329"/>
      <c r="AA263" s="333"/>
      <c r="AB263" s="334"/>
      <c r="AC263" s="335"/>
      <c r="AD263" s="336"/>
      <c r="AE263" s="336"/>
      <c r="AF263" s="336"/>
      <c r="AG263" s="336"/>
      <c r="AH263" s="336"/>
      <c r="AI263" s="336"/>
      <c r="AJ263" s="336"/>
      <c r="AK263" s="336"/>
      <c r="AL263" s="336"/>
      <c r="AM263" s="336"/>
      <c r="AN263" s="336"/>
      <c r="AO263" s="336"/>
      <c r="AP263" s="337"/>
      <c r="AQ263" s="337"/>
      <c r="AR263" s="337"/>
      <c r="AS263" s="337"/>
      <c r="AT263" s="337"/>
      <c r="AU263" s="337"/>
      <c r="AV263" s="337"/>
      <c r="AW263" s="337"/>
      <c r="AX263" s="337"/>
      <c r="AY263" s="337"/>
      <c r="AZ263" s="337"/>
      <c r="BA263" s="337"/>
      <c r="BB263" s="338"/>
      <c r="BC263" s="339"/>
      <c r="BD263" s="340"/>
      <c r="BE263" s="341"/>
    </row>
    <row r="264" spans="1:57" x14ac:dyDescent="0.3">
      <c r="A264" s="241" t="str">
        <f t="shared" si="5"/>
        <v/>
      </c>
      <c r="B264" s="364"/>
      <c r="C264" s="362"/>
      <c r="D264" s="363"/>
      <c r="E264" s="366"/>
      <c r="F264" s="327"/>
      <c r="G264" s="329"/>
      <c r="H264" s="329"/>
      <c r="I264" s="329"/>
      <c r="J264" s="329"/>
      <c r="K264" s="329"/>
      <c r="L264" s="329"/>
      <c r="M264" s="329"/>
      <c r="N264" s="329"/>
      <c r="O264" s="330"/>
      <c r="P264" s="330"/>
      <c r="Q264" s="331"/>
      <c r="R264" s="331"/>
      <c r="S264" s="331"/>
      <c r="T264" s="331"/>
      <c r="U264" s="331"/>
      <c r="V264" s="331"/>
      <c r="W264" s="331"/>
      <c r="X264" s="332"/>
      <c r="Y264" s="331"/>
      <c r="Z264" s="329"/>
      <c r="AA264" s="333"/>
      <c r="AB264" s="334"/>
      <c r="AC264" s="335"/>
      <c r="AD264" s="336"/>
      <c r="AE264" s="336"/>
      <c r="AF264" s="336"/>
      <c r="AG264" s="336"/>
      <c r="AH264" s="336"/>
      <c r="AI264" s="336"/>
      <c r="AJ264" s="336"/>
      <c r="AK264" s="336"/>
      <c r="AL264" s="336"/>
      <c r="AM264" s="336"/>
      <c r="AN264" s="336"/>
      <c r="AO264" s="336"/>
      <c r="AP264" s="337"/>
      <c r="AQ264" s="337"/>
      <c r="AR264" s="337"/>
      <c r="AS264" s="337"/>
      <c r="AT264" s="337"/>
      <c r="AU264" s="337"/>
      <c r="AV264" s="337"/>
      <c r="AW264" s="337"/>
      <c r="AX264" s="337"/>
      <c r="AY264" s="337"/>
      <c r="AZ264" s="337"/>
      <c r="BA264" s="337"/>
      <c r="BB264" s="338"/>
      <c r="BC264" s="339"/>
      <c r="BD264" s="340"/>
      <c r="BE264" s="32"/>
    </row>
    <row r="265" spans="1:57" x14ac:dyDescent="0.3">
      <c r="A265" s="241" t="str">
        <f t="shared" si="5"/>
        <v/>
      </c>
      <c r="B265" s="364"/>
      <c r="C265" s="362"/>
      <c r="D265" s="363"/>
      <c r="E265" s="366"/>
      <c r="F265" s="327"/>
      <c r="G265" s="329"/>
      <c r="H265" s="329"/>
      <c r="I265" s="329"/>
      <c r="J265" s="329"/>
      <c r="K265" s="329"/>
      <c r="L265" s="329"/>
      <c r="M265" s="329"/>
      <c r="N265" s="329"/>
      <c r="O265" s="330"/>
      <c r="P265" s="330"/>
      <c r="Q265" s="331"/>
      <c r="R265" s="331"/>
      <c r="S265" s="331"/>
      <c r="T265" s="331"/>
      <c r="U265" s="331"/>
      <c r="V265" s="331"/>
      <c r="W265" s="331"/>
      <c r="X265" s="332"/>
      <c r="Y265" s="331"/>
      <c r="Z265" s="329"/>
      <c r="AA265" s="333"/>
      <c r="AB265" s="334"/>
      <c r="AC265" s="335"/>
      <c r="AD265" s="336"/>
      <c r="AE265" s="336"/>
      <c r="AF265" s="336"/>
      <c r="AG265" s="336"/>
      <c r="AH265" s="336"/>
      <c r="AI265" s="336"/>
      <c r="AJ265" s="336"/>
      <c r="AK265" s="336"/>
      <c r="AL265" s="336"/>
      <c r="AM265" s="336"/>
      <c r="AN265" s="336"/>
      <c r="AO265" s="336"/>
      <c r="AP265" s="337"/>
      <c r="AQ265" s="337"/>
      <c r="AR265" s="337"/>
      <c r="AS265" s="337"/>
      <c r="AT265" s="337"/>
      <c r="AU265" s="337"/>
      <c r="AV265" s="337"/>
      <c r="AW265" s="337"/>
      <c r="AX265" s="337"/>
      <c r="AY265" s="337"/>
      <c r="AZ265" s="337"/>
      <c r="BA265" s="337"/>
      <c r="BB265" s="338"/>
      <c r="BC265" s="339"/>
      <c r="BD265" s="340"/>
      <c r="BE265" s="32"/>
    </row>
    <row r="266" spans="1:57" x14ac:dyDescent="0.3">
      <c r="A266" s="241" t="str">
        <f t="shared" si="5"/>
        <v/>
      </c>
      <c r="B266" s="364"/>
      <c r="C266" s="362"/>
      <c r="D266" s="363"/>
      <c r="E266" s="366"/>
      <c r="F266" s="327"/>
      <c r="G266" s="329"/>
      <c r="H266" s="329"/>
      <c r="I266" s="329"/>
      <c r="J266" s="329"/>
      <c r="K266" s="329"/>
      <c r="L266" s="329"/>
      <c r="M266" s="329"/>
      <c r="N266" s="329"/>
      <c r="O266" s="330"/>
      <c r="P266" s="330"/>
      <c r="Q266" s="331"/>
      <c r="R266" s="331"/>
      <c r="S266" s="331"/>
      <c r="T266" s="331"/>
      <c r="U266" s="331"/>
      <c r="V266" s="331"/>
      <c r="W266" s="331"/>
      <c r="X266" s="332"/>
      <c r="Y266" s="331"/>
      <c r="Z266" s="329"/>
      <c r="AA266" s="333"/>
      <c r="AB266" s="334"/>
      <c r="AC266" s="335"/>
      <c r="AD266" s="336"/>
      <c r="AE266" s="336"/>
      <c r="AF266" s="336"/>
      <c r="AG266" s="336"/>
      <c r="AH266" s="336"/>
      <c r="AI266" s="336"/>
      <c r="AJ266" s="336"/>
      <c r="AK266" s="336"/>
      <c r="AL266" s="336"/>
      <c r="AM266" s="336"/>
      <c r="AN266" s="336"/>
      <c r="AO266" s="336"/>
      <c r="AP266" s="337"/>
      <c r="AQ266" s="337"/>
      <c r="AR266" s="337"/>
      <c r="AS266" s="337"/>
      <c r="AT266" s="337"/>
      <c r="AU266" s="337"/>
      <c r="AV266" s="337"/>
      <c r="AW266" s="337"/>
      <c r="AX266" s="337"/>
      <c r="AY266" s="337"/>
      <c r="AZ266" s="337"/>
      <c r="BA266" s="337"/>
      <c r="BB266" s="338"/>
      <c r="BC266" s="339"/>
      <c r="BD266" s="340"/>
      <c r="BE266" s="32"/>
    </row>
    <row r="267" spans="1:57" x14ac:dyDescent="0.3">
      <c r="A267" s="241" t="str">
        <f t="shared" si="5"/>
        <v/>
      </c>
      <c r="B267" s="364"/>
      <c r="C267" s="362"/>
      <c r="D267" s="363"/>
      <c r="E267" s="366"/>
      <c r="F267" s="327"/>
      <c r="G267" s="329"/>
      <c r="H267" s="329"/>
      <c r="I267" s="329"/>
      <c r="J267" s="329"/>
      <c r="K267" s="329"/>
      <c r="L267" s="329"/>
      <c r="M267" s="329"/>
      <c r="N267" s="329"/>
      <c r="O267" s="330"/>
      <c r="P267" s="330"/>
      <c r="Q267" s="331"/>
      <c r="R267" s="331"/>
      <c r="S267" s="331"/>
      <c r="T267" s="331"/>
      <c r="U267" s="331"/>
      <c r="V267" s="331"/>
      <c r="W267" s="331"/>
      <c r="X267" s="332"/>
      <c r="Y267" s="331"/>
      <c r="Z267" s="329"/>
      <c r="AA267" s="333"/>
      <c r="AB267" s="334"/>
      <c r="AC267" s="335"/>
      <c r="AD267" s="336"/>
      <c r="AE267" s="336"/>
      <c r="AF267" s="336"/>
      <c r="AG267" s="336"/>
      <c r="AH267" s="336"/>
      <c r="AI267" s="336"/>
      <c r="AJ267" s="336"/>
      <c r="AK267" s="336"/>
      <c r="AL267" s="336"/>
      <c r="AM267" s="336"/>
      <c r="AN267" s="336"/>
      <c r="AO267" s="336"/>
      <c r="AP267" s="337"/>
      <c r="AQ267" s="337"/>
      <c r="AR267" s="337"/>
      <c r="AS267" s="337"/>
      <c r="AT267" s="337"/>
      <c r="AU267" s="337"/>
      <c r="AV267" s="337"/>
      <c r="AW267" s="337"/>
      <c r="AX267" s="337"/>
      <c r="AY267" s="337"/>
      <c r="AZ267" s="337"/>
      <c r="BA267" s="337"/>
      <c r="BB267" s="338"/>
      <c r="BC267" s="339"/>
      <c r="BD267" s="340"/>
      <c r="BE267" s="32"/>
    </row>
    <row r="268" spans="1:57" x14ac:dyDescent="0.3">
      <c r="A268" s="241" t="str">
        <f t="shared" si="5"/>
        <v/>
      </c>
      <c r="B268" s="364"/>
      <c r="C268" s="362"/>
      <c r="D268" s="363"/>
      <c r="E268" s="366"/>
      <c r="F268" s="327"/>
      <c r="G268" s="329"/>
      <c r="H268" s="329"/>
      <c r="I268" s="329"/>
      <c r="J268" s="329"/>
      <c r="K268" s="329"/>
      <c r="L268" s="329"/>
      <c r="M268" s="329"/>
      <c r="N268" s="329"/>
      <c r="O268" s="330"/>
      <c r="P268" s="330"/>
      <c r="Q268" s="331"/>
      <c r="R268" s="331"/>
      <c r="S268" s="331"/>
      <c r="T268" s="331"/>
      <c r="U268" s="331"/>
      <c r="V268" s="331"/>
      <c r="W268" s="331"/>
      <c r="X268" s="332"/>
      <c r="Y268" s="331"/>
      <c r="Z268" s="329"/>
      <c r="AA268" s="333"/>
      <c r="AB268" s="334"/>
      <c r="AC268" s="335"/>
      <c r="AD268" s="336"/>
      <c r="AE268" s="336"/>
      <c r="AF268" s="336"/>
      <c r="AG268" s="336"/>
      <c r="AH268" s="336"/>
      <c r="AI268" s="336"/>
      <c r="AJ268" s="336"/>
      <c r="AK268" s="336"/>
      <c r="AL268" s="336"/>
      <c r="AM268" s="336"/>
      <c r="AN268" s="336"/>
      <c r="AO268" s="336"/>
      <c r="AP268" s="337"/>
      <c r="AQ268" s="337"/>
      <c r="AR268" s="337"/>
      <c r="AS268" s="337"/>
      <c r="AT268" s="337"/>
      <c r="AU268" s="337"/>
      <c r="AV268" s="337"/>
      <c r="AW268" s="337"/>
      <c r="AX268" s="337"/>
      <c r="AY268" s="337"/>
      <c r="AZ268" s="337"/>
      <c r="BA268" s="337"/>
      <c r="BB268" s="338"/>
      <c r="BC268" s="339"/>
      <c r="BD268" s="340"/>
      <c r="BE268" s="32"/>
    </row>
    <row r="269" spans="1:57" x14ac:dyDescent="0.3">
      <c r="A269" s="241" t="str">
        <f t="shared" si="5"/>
        <v/>
      </c>
      <c r="B269" s="364"/>
      <c r="C269" s="362"/>
      <c r="D269" s="363"/>
      <c r="E269" s="366"/>
      <c r="F269" s="327"/>
      <c r="G269" s="329"/>
      <c r="H269" s="329"/>
      <c r="I269" s="329"/>
      <c r="J269" s="329"/>
      <c r="K269" s="329"/>
      <c r="L269" s="329"/>
      <c r="M269" s="329"/>
      <c r="N269" s="329"/>
      <c r="O269" s="330"/>
      <c r="P269" s="330"/>
      <c r="Q269" s="331"/>
      <c r="R269" s="331"/>
      <c r="S269" s="331"/>
      <c r="T269" s="331"/>
      <c r="U269" s="331"/>
      <c r="V269" s="331"/>
      <c r="W269" s="331"/>
      <c r="X269" s="332"/>
      <c r="Y269" s="331"/>
      <c r="Z269" s="329"/>
      <c r="AA269" s="333"/>
      <c r="AB269" s="334"/>
      <c r="AC269" s="335"/>
      <c r="AD269" s="336"/>
      <c r="AE269" s="336"/>
      <c r="AF269" s="336"/>
      <c r="AG269" s="336"/>
      <c r="AH269" s="336"/>
      <c r="AI269" s="336"/>
      <c r="AJ269" s="336"/>
      <c r="AK269" s="336"/>
      <c r="AL269" s="336"/>
      <c r="AM269" s="336"/>
      <c r="AN269" s="336"/>
      <c r="AO269" s="336"/>
      <c r="AP269" s="337"/>
      <c r="AQ269" s="337"/>
      <c r="AR269" s="337"/>
      <c r="AS269" s="337"/>
      <c r="AT269" s="337"/>
      <c r="AU269" s="337"/>
      <c r="AV269" s="337"/>
      <c r="AW269" s="337"/>
      <c r="AX269" s="337"/>
      <c r="AY269" s="337"/>
      <c r="AZ269" s="337"/>
      <c r="BA269" s="337"/>
      <c r="BB269" s="338"/>
      <c r="BC269" s="339"/>
      <c r="BD269" s="340"/>
      <c r="BE269" s="32"/>
    </row>
    <row r="270" spans="1:57" x14ac:dyDescent="0.3">
      <c r="A270" s="241" t="str">
        <f t="shared" si="5"/>
        <v/>
      </c>
      <c r="B270" s="364"/>
      <c r="C270" s="362"/>
      <c r="D270" s="363"/>
      <c r="E270" s="365"/>
      <c r="F270" s="329"/>
      <c r="G270" s="329"/>
      <c r="H270" s="329"/>
      <c r="I270" s="329"/>
      <c r="J270" s="329"/>
      <c r="K270" s="329"/>
      <c r="L270" s="329"/>
      <c r="M270" s="329"/>
      <c r="N270" s="329"/>
      <c r="O270" s="330"/>
      <c r="P270" s="330"/>
      <c r="Q270" s="331"/>
      <c r="R270" s="331"/>
      <c r="S270" s="331"/>
      <c r="T270" s="331"/>
      <c r="U270" s="331"/>
      <c r="V270" s="331"/>
      <c r="W270" s="331"/>
      <c r="X270" s="332"/>
      <c r="Y270" s="331"/>
      <c r="Z270" s="329"/>
      <c r="AA270" s="333"/>
      <c r="AB270" s="334"/>
      <c r="AC270" s="335"/>
      <c r="AD270" s="336"/>
      <c r="AE270" s="336"/>
      <c r="AF270" s="336"/>
      <c r="AG270" s="336"/>
      <c r="AH270" s="336"/>
      <c r="AI270" s="336"/>
      <c r="AJ270" s="336"/>
      <c r="AK270" s="336"/>
      <c r="AL270" s="336"/>
      <c r="AM270" s="336"/>
      <c r="AN270" s="336"/>
      <c r="AO270" s="336"/>
      <c r="AP270" s="337"/>
      <c r="AQ270" s="337"/>
      <c r="AR270" s="337"/>
      <c r="AS270" s="337"/>
      <c r="AT270" s="337"/>
      <c r="AU270" s="337"/>
      <c r="AV270" s="337"/>
      <c r="AW270" s="337"/>
      <c r="AX270" s="337"/>
      <c r="AY270" s="337"/>
      <c r="AZ270" s="337"/>
      <c r="BA270" s="337"/>
      <c r="BB270" s="338"/>
      <c r="BC270" s="339"/>
      <c r="BD270" s="340"/>
      <c r="BE270" s="341"/>
    </row>
    <row r="271" spans="1:57" x14ac:dyDescent="0.3">
      <c r="A271" s="241" t="str">
        <f t="shared" si="5"/>
        <v/>
      </c>
      <c r="B271" s="364"/>
      <c r="C271" s="362"/>
      <c r="D271" s="363"/>
      <c r="E271" s="365"/>
      <c r="F271" s="327"/>
      <c r="G271" s="329"/>
      <c r="H271" s="329"/>
      <c r="I271" s="329"/>
      <c r="J271" s="329"/>
      <c r="K271" s="329"/>
      <c r="L271" s="329"/>
      <c r="M271" s="329"/>
      <c r="N271" s="329"/>
      <c r="O271" s="330"/>
      <c r="P271" s="330"/>
      <c r="Q271" s="331"/>
      <c r="R271" s="331"/>
      <c r="S271" s="331"/>
      <c r="T271" s="331"/>
      <c r="U271" s="331"/>
      <c r="V271" s="331"/>
      <c r="W271" s="331"/>
      <c r="X271" s="332"/>
      <c r="Y271" s="331"/>
      <c r="Z271" s="329"/>
      <c r="AA271" s="333"/>
      <c r="AB271" s="334"/>
      <c r="AC271" s="335"/>
      <c r="AD271" s="336"/>
      <c r="AE271" s="336"/>
      <c r="AF271" s="336"/>
      <c r="AG271" s="336"/>
      <c r="AH271" s="336"/>
      <c r="AI271" s="336"/>
      <c r="AJ271" s="336"/>
      <c r="AK271" s="336"/>
      <c r="AL271" s="336"/>
      <c r="AM271" s="336"/>
      <c r="AN271" s="336"/>
      <c r="AO271" s="336"/>
      <c r="AP271" s="337"/>
      <c r="AQ271" s="337"/>
      <c r="AR271" s="337"/>
      <c r="AS271" s="337"/>
      <c r="AT271" s="337"/>
      <c r="AU271" s="337"/>
      <c r="AV271" s="337"/>
      <c r="AW271" s="337"/>
      <c r="AX271" s="337"/>
      <c r="AY271" s="337"/>
      <c r="AZ271" s="337"/>
      <c r="BA271" s="337"/>
      <c r="BB271" s="338"/>
      <c r="BC271" s="339"/>
      <c r="BD271" s="340"/>
      <c r="BE271" s="341"/>
    </row>
    <row r="272" spans="1:57" x14ac:dyDescent="0.3">
      <c r="A272" s="241" t="str">
        <f t="shared" si="5"/>
        <v/>
      </c>
      <c r="B272" s="364"/>
      <c r="C272" s="362"/>
      <c r="D272" s="363"/>
      <c r="E272" s="365"/>
      <c r="F272" s="327"/>
      <c r="G272" s="329"/>
      <c r="H272" s="329"/>
      <c r="I272" s="329"/>
      <c r="J272" s="329"/>
      <c r="K272" s="329"/>
      <c r="L272" s="329"/>
      <c r="M272" s="329"/>
      <c r="N272" s="329"/>
      <c r="O272" s="330"/>
      <c r="P272" s="330"/>
      <c r="Q272" s="331"/>
      <c r="R272" s="331"/>
      <c r="S272" s="331"/>
      <c r="T272" s="331"/>
      <c r="U272" s="331"/>
      <c r="V272" s="331"/>
      <c r="W272" s="331"/>
      <c r="X272" s="332"/>
      <c r="Y272" s="331"/>
      <c r="Z272" s="329"/>
      <c r="AA272" s="333"/>
      <c r="AB272" s="334"/>
      <c r="AC272" s="335"/>
      <c r="AD272" s="336"/>
      <c r="AE272" s="336"/>
      <c r="AF272" s="336"/>
      <c r="AG272" s="336"/>
      <c r="AH272" s="336"/>
      <c r="AI272" s="336"/>
      <c r="AJ272" s="336"/>
      <c r="AK272" s="336"/>
      <c r="AL272" s="336"/>
      <c r="AM272" s="336"/>
      <c r="AN272" s="336"/>
      <c r="AO272" s="336"/>
      <c r="AP272" s="337"/>
      <c r="AQ272" s="337"/>
      <c r="AR272" s="337"/>
      <c r="AS272" s="337"/>
      <c r="AT272" s="337"/>
      <c r="AU272" s="337"/>
      <c r="AV272" s="337"/>
      <c r="AW272" s="337"/>
      <c r="AX272" s="337"/>
      <c r="AY272" s="337"/>
      <c r="AZ272" s="337"/>
      <c r="BA272" s="337"/>
      <c r="BB272" s="338"/>
      <c r="BC272" s="339"/>
      <c r="BD272" s="340"/>
      <c r="BE272" s="341"/>
    </row>
    <row r="273" spans="1:57" x14ac:dyDescent="0.3">
      <c r="A273" s="241" t="str">
        <f t="shared" si="5"/>
        <v/>
      </c>
      <c r="B273" s="364"/>
      <c r="C273" s="362"/>
      <c r="D273" s="363"/>
      <c r="E273" s="365"/>
      <c r="F273" s="327"/>
      <c r="G273" s="329"/>
      <c r="H273" s="329"/>
      <c r="I273" s="329"/>
      <c r="J273" s="329"/>
      <c r="K273" s="329"/>
      <c r="L273" s="329"/>
      <c r="M273" s="329"/>
      <c r="N273" s="329"/>
      <c r="O273" s="330"/>
      <c r="P273" s="330"/>
      <c r="Q273" s="331"/>
      <c r="R273" s="331"/>
      <c r="S273" s="331"/>
      <c r="T273" s="331"/>
      <c r="U273" s="331"/>
      <c r="V273" s="331"/>
      <c r="W273" s="331"/>
      <c r="X273" s="332"/>
      <c r="Y273" s="331"/>
      <c r="Z273" s="329"/>
      <c r="AA273" s="333"/>
      <c r="AB273" s="334"/>
      <c r="AC273" s="335"/>
      <c r="AD273" s="336"/>
      <c r="AE273" s="336"/>
      <c r="AF273" s="336"/>
      <c r="AG273" s="336"/>
      <c r="AH273" s="336"/>
      <c r="AI273" s="336"/>
      <c r="AJ273" s="336"/>
      <c r="AK273" s="336"/>
      <c r="AL273" s="336"/>
      <c r="AM273" s="336"/>
      <c r="AN273" s="336"/>
      <c r="AO273" s="336"/>
      <c r="AP273" s="337"/>
      <c r="AQ273" s="337"/>
      <c r="AR273" s="337"/>
      <c r="AS273" s="337"/>
      <c r="AT273" s="337"/>
      <c r="AU273" s="337"/>
      <c r="AV273" s="337"/>
      <c r="AW273" s="337"/>
      <c r="AX273" s="337"/>
      <c r="AY273" s="337"/>
      <c r="AZ273" s="337"/>
      <c r="BA273" s="337"/>
      <c r="BB273" s="338"/>
      <c r="BC273" s="339"/>
      <c r="BD273" s="340"/>
      <c r="BE273" s="341"/>
    </row>
    <row r="274" spans="1:57" x14ac:dyDescent="0.3">
      <c r="A274" s="241" t="str">
        <f t="shared" si="5"/>
        <v/>
      </c>
      <c r="B274" s="364"/>
      <c r="C274" s="362"/>
      <c r="D274" s="363"/>
      <c r="E274" s="366"/>
      <c r="F274" s="329"/>
      <c r="G274" s="329"/>
      <c r="H274" s="329"/>
      <c r="I274" s="329"/>
      <c r="J274" s="329"/>
      <c r="K274" s="329"/>
      <c r="L274" s="329"/>
      <c r="M274" s="329"/>
      <c r="N274" s="329"/>
      <c r="O274" s="330"/>
      <c r="P274" s="330"/>
      <c r="Q274" s="331"/>
      <c r="R274" s="331"/>
      <c r="S274" s="331"/>
      <c r="T274" s="331"/>
      <c r="U274" s="331"/>
      <c r="V274" s="331"/>
      <c r="W274" s="331"/>
      <c r="X274" s="332"/>
      <c r="Y274" s="331"/>
      <c r="Z274" s="329"/>
      <c r="AA274" s="333"/>
      <c r="AB274" s="334"/>
      <c r="AC274" s="335"/>
      <c r="AD274" s="336"/>
      <c r="AE274" s="336"/>
      <c r="AF274" s="336"/>
      <c r="AG274" s="336"/>
      <c r="AH274" s="336"/>
      <c r="AI274" s="336"/>
      <c r="AJ274" s="336"/>
      <c r="AK274" s="336"/>
      <c r="AL274" s="336"/>
      <c r="AM274" s="336"/>
      <c r="AN274" s="336"/>
      <c r="AO274" s="336"/>
      <c r="AP274" s="337"/>
      <c r="AQ274" s="337"/>
      <c r="AR274" s="337"/>
      <c r="AS274" s="337"/>
      <c r="AT274" s="337"/>
      <c r="AU274" s="337"/>
      <c r="AV274" s="337"/>
      <c r="AW274" s="337"/>
      <c r="AX274" s="337"/>
      <c r="AY274" s="337"/>
      <c r="AZ274" s="337"/>
      <c r="BA274" s="337"/>
      <c r="BB274" s="338"/>
      <c r="BC274" s="339"/>
      <c r="BD274" s="340"/>
      <c r="BE274" s="341"/>
    </row>
    <row r="275" spans="1:57" x14ac:dyDescent="0.3">
      <c r="A275" s="241" t="str">
        <f t="shared" si="5"/>
        <v/>
      </c>
      <c r="B275" s="364"/>
      <c r="C275" s="362"/>
      <c r="D275" s="363"/>
      <c r="E275" s="366"/>
      <c r="F275" s="329"/>
      <c r="G275" s="329"/>
      <c r="H275" s="329"/>
      <c r="I275" s="329"/>
      <c r="J275" s="329"/>
      <c r="K275" s="329"/>
      <c r="L275" s="329"/>
      <c r="M275" s="329"/>
      <c r="N275" s="329"/>
      <c r="O275" s="330"/>
      <c r="P275" s="330"/>
      <c r="Q275" s="331"/>
      <c r="R275" s="331"/>
      <c r="S275" s="331"/>
      <c r="T275" s="331"/>
      <c r="U275" s="331"/>
      <c r="V275" s="331"/>
      <c r="W275" s="331"/>
      <c r="X275" s="332"/>
      <c r="Y275" s="331"/>
      <c r="Z275" s="329"/>
      <c r="AA275" s="333"/>
      <c r="AB275" s="334"/>
      <c r="AC275" s="335"/>
      <c r="AD275" s="336"/>
      <c r="AE275" s="336"/>
      <c r="AF275" s="336"/>
      <c r="AG275" s="336"/>
      <c r="AH275" s="336"/>
      <c r="AI275" s="336"/>
      <c r="AJ275" s="336"/>
      <c r="AK275" s="336"/>
      <c r="AL275" s="336"/>
      <c r="AM275" s="336"/>
      <c r="AN275" s="336"/>
      <c r="AO275" s="336"/>
      <c r="AP275" s="337"/>
      <c r="AQ275" s="337"/>
      <c r="AR275" s="337"/>
      <c r="AS275" s="337"/>
      <c r="AT275" s="337"/>
      <c r="AU275" s="337"/>
      <c r="AV275" s="337"/>
      <c r="AW275" s="337"/>
      <c r="AX275" s="337"/>
      <c r="AY275" s="337"/>
      <c r="AZ275" s="337"/>
      <c r="BA275" s="337"/>
      <c r="BB275" s="338"/>
      <c r="BC275" s="339"/>
      <c r="BD275" s="340"/>
      <c r="BE275" s="341"/>
    </row>
    <row r="276" spans="1:57" x14ac:dyDescent="0.3">
      <c r="A276" s="241" t="str">
        <f t="shared" si="5"/>
        <v/>
      </c>
      <c r="B276" s="364"/>
      <c r="C276" s="362"/>
      <c r="D276" s="363"/>
      <c r="E276" s="366"/>
      <c r="F276" s="327"/>
      <c r="G276" s="329"/>
      <c r="H276" s="329"/>
      <c r="I276" s="329"/>
      <c r="J276" s="329"/>
      <c r="K276" s="329"/>
      <c r="L276" s="329"/>
      <c r="M276" s="329"/>
      <c r="N276" s="329"/>
      <c r="O276" s="330"/>
      <c r="P276" s="330"/>
      <c r="Q276" s="331"/>
      <c r="R276" s="331"/>
      <c r="S276" s="331"/>
      <c r="T276" s="331"/>
      <c r="U276" s="331"/>
      <c r="V276" s="331"/>
      <c r="W276" s="331"/>
      <c r="X276" s="332"/>
      <c r="Y276" s="331"/>
      <c r="Z276" s="329"/>
      <c r="AA276" s="333"/>
      <c r="AB276" s="334"/>
      <c r="AC276" s="335"/>
      <c r="AD276" s="336"/>
      <c r="AE276" s="336"/>
      <c r="AF276" s="336"/>
      <c r="AG276" s="336"/>
      <c r="AH276" s="336"/>
      <c r="AI276" s="336"/>
      <c r="AJ276" s="336"/>
      <c r="AK276" s="336"/>
      <c r="AL276" s="336"/>
      <c r="AM276" s="336"/>
      <c r="AN276" s="336"/>
      <c r="AO276" s="336"/>
      <c r="AP276" s="337"/>
      <c r="AQ276" s="337"/>
      <c r="AR276" s="337"/>
      <c r="AS276" s="337"/>
      <c r="AT276" s="337"/>
      <c r="AU276" s="337"/>
      <c r="AV276" s="337"/>
      <c r="AW276" s="337"/>
      <c r="AX276" s="337"/>
      <c r="AY276" s="337"/>
      <c r="AZ276" s="337"/>
      <c r="BA276" s="337"/>
      <c r="BB276" s="338"/>
      <c r="BC276" s="339"/>
      <c r="BD276" s="340"/>
      <c r="BE276" s="32"/>
    </row>
    <row r="277" spans="1:57" x14ac:dyDescent="0.3">
      <c r="A277" s="241" t="str">
        <f t="shared" ref="A277:A340" si="6">CONCATENATE(B277,C277)</f>
        <v/>
      </c>
      <c r="B277" s="364"/>
      <c r="C277" s="362"/>
      <c r="D277" s="363"/>
      <c r="E277" s="366"/>
      <c r="F277" s="327"/>
      <c r="G277" s="329"/>
      <c r="H277" s="329"/>
      <c r="I277" s="329"/>
      <c r="J277" s="329"/>
      <c r="K277" s="329"/>
      <c r="L277" s="329"/>
      <c r="M277" s="329"/>
      <c r="N277" s="329"/>
      <c r="O277" s="330"/>
      <c r="P277" s="330"/>
      <c r="Q277" s="331"/>
      <c r="R277" s="331"/>
      <c r="S277" s="331"/>
      <c r="T277" s="331"/>
      <c r="U277" s="331"/>
      <c r="V277" s="331"/>
      <c r="W277" s="331"/>
      <c r="X277" s="332"/>
      <c r="Y277" s="331"/>
      <c r="Z277" s="329"/>
      <c r="AA277" s="333"/>
      <c r="AB277" s="334"/>
      <c r="AC277" s="335"/>
      <c r="AD277" s="336"/>
      <c r="AE277" s="336"/>
      <c r="AF277" s="336"/>
      <c r="AG277" s="336"/>
      <c r="AH277" s="336"/>
      <c r="AI277" s="336"/>
      <c r="AJ277" s="336"/>
      <c r="AK277" s="336"/>
      <c r="AL277" s="336"/>
      <c r="AM277" s="336"/>
      <c r="AN277" s="336"/>
      <c r="AO277" s="336"/>
      <c r="AP277" s="337"/>
      <c r="AQ277" s="337"/>
      <c r="AR277" s="337"/>
      <c r="AS277" s="337"/>
      <c r="AT277" s="337"/>
      <c r="AU277" s="337"/>
      <c r="AV277" s="337"/>
      <c r="AW277" s="337"/>
      <c r="AX277" s="337"/>
      <c r="AY277" s="337"/>
      <c r="AZ277" s="337"/>
      <c r="BA277" s="337"/>
      <c r="BB277" s="338"/>
      <c r="BC277" s="339"/>
      <c r="BD277" s="340"/>
      <c r="BE277" s="32"/>
    </row>
    <row r="278" spans="1:57" x14ac:dyDescent="0.3">
      <c r="A278" s="241" t="str">
        <f t="shared" si="6"/>
        <v/>
      </c>
      <c r="B278" s="364"/>
      <c r="C278" s="362"/>
      <c r="D278" s="363"/>
      <c r="E278" s="366"/>
      <c r="F278" s="347"/>
      <c r="G278" s="329"/>
      <c r="H278" s="329"/>
      <c r="I278" s="329"/>
      <c r="J278" s="329"/>
      <c r="K278" s="329"/>
      <c r="L278" s="329"/>
      <c r="M278" s="329"/>
      <c r="N278" s="329"/>
      <c r="O278" s="154"/>
      <c r="P278" s="330"/>
      <c r="Q278" s="331"/>
      <c r="R278" s="331"/>
      <c r="S278" s="331"/>
      <c r="T278" s="331"/>
      <c r="U278" s="331"/>
      <c r="V278" s="331"/>
      <c r="W278" s="331"/>
      <c r="X278" s="332"/>
      <c r="Y278" s="331"/>
      <c r="Z278" s="329"/>
      <c r="AA278" s="333"/>
      <c r="AB278" s="334"/>
      <c r="AC278" s="335"/>
      <c r="AD278" s="336"/>
      <c r="AE278" s="336"/>
      <c r="AF278" s="336"/>
      <c r="AG278" s="336"/>
      <c r="AH278" s="336"/>
      <c r="AI278" s="336"/>
      <c r="AJ278" s="336"/>
      <c r="AK278" s="336"/>
      <c r="AL278" s="336"/>
      <c r="AM278" s="336"/>
      <c r="AN278" s="336"/>
      <c r="AO278" s="336"/>
      <c r="AP278" s="337"/>
      <c r="AQ278" s="337"/>
      <c r="AR278" s="337"/>
      <c r="AS278" s="337"/>
      <c r="AT278" s="337"/>
      <c r="AU278" s="337"/>
      <c r="AV278" s="337"/>
      <c r="AW278" s="337"/>
      <c r="AX278" s="337"/>
      <c r="AY278" s="337"/>
      <c r="AZ278" s="337"/>
      <c r="BA278" s="337"/>
      <c r="BB278" s="338"/>
      <c r="BC278" s="339"/>
      <c r="BD278" s="340"/>
      <c r="BE278" s="341"/>
    </row>
    <row r="279" spans="1:57" x14ac:dyDescent="0.3">
      <c r="A279" s="241" t="str">
        <f t="shared" si="6"/>
        <v/>
      </c>
      <c r="B279" s="364"/>
      <c r="C279" s="362"/>
      <c r="D279" s="363"/>
      <c r="E279" s="366"/>
      <c r="F279" s="347"/>
      <c r="G279" s="329"/>
      <c r="H279" s="329"/>
      <c r="I279" s="329"/>
      <c r="J279" s="329"/>
      <c r="K279" s="329"/>
      <c r="L279" s="329"/>
      <c r="M279" s="329"/>
      <c r="N279" s="329"/>
      <c r="O279" s="154"/>
      <c r="P279" s="330"/>
      <c r="Q279" s="331"/>
      <c r="R279" s="331"/>
      <c r="S279" s="331"/>
      <c r="T279" s="331"/>
      <c r="U279" s="331"/>
      <c r="V279" s="331"/>
      <c r="W279" s="331"/>
      <c r="X279" s="332"/>
      <c r="Y279" s="331"/>
      <c r="Z279" s="329"/>
      <c r="AA279" s="333"/>
      <c r="AB279" s="334"/>
      <c r="AC279" s="335"/>
      <c r="AD279" s="336"/>
      <c r="AE279" s="336"/>
      <c r="AF279" s="336"/>
      <c r="AG279" s="336"/>
      <c r="AH279" s="336"/>
      <c r="AI279" s="336"/>
      <c r="AJ279" s="336"/>
      <c r="AK279" s="336"/>
      <c r="AL279" s="336"/>
      <c r="AM279" s="336"/>
      <c r="AN279" s="336"/>
      <c r="AO279" s="336"/>
      <c r="AP279" s="337"/>
      <c r="AQ279" s="337"/>
      <c r="AR279" s="337"/>
      <c r="AS279" s="337"/>
      <c r="AT279" s="337"/>
      <c r="AU279" s="337"/>
      <c r="AV279" s="337"/>
      <c r="AW279" s="337"/>
      <c r="AX279" s="337"/>
      <c r="AY279" s="337"/>
      <c r="AZ279" s="337"/>
      <c r="BA279" s="337"/>
      <c r="BB279" s="338"/>
      <c r="BC279" s="339"/>
      <c r="BD279" s="340"/>
      <c r="BE279" s="341"/>
    </row>
    <row r="280" spans="1:57" x14ac:dyDescent="0.3">
      <c r="A280" s="241" t="str">
        <f t="shared" si="6"/>
        <v/>
      </c>
      <c r="B280" s="364"/>
      <c r="C280" s="362"/>
      <c r="D280" s="363"/>
      <c r="E280" s="365"/>
      <c r="F280" s="327"/>
      <c r="G280" s="329"/>
      <c r="H280" s="329"/>
      <c r="I280" s="329"/>
      <c r="J280" s="329"/>
      <c r="K280" s="329"/>
      <c r="L280" s="329"/>
      <c r="M280" s="329"/>
      <c r="N280" s="329"/>
      <c r="O280" s="330"/>
      <c r="P280" s="330"/>
      <c r="Q280" s="331"/>
      <c r="R280" s="331"/>
      <c r="S280" s="331"/>
      <c r="T280" s="331"/>
      <c r="U280" s="331"/>
      <c r="V280" s="331"/>
      <c r="W280" s="331"/>
      <c r="X280" s="332"/>
      <c r="Y280" s="331"/>
      <c r="Z280" s="329"/>
      <c r="AA280" s="333"/>
      <c r="AB280" s="334"/>
      <c r="AC280" s="335"/>
      <c r="AD280" s="336"/>
      <c r="AE280" s="336"/>
      <c r="AF280" s="336"/>
      <c r="AG280" s="336"/>
      <c r="AH280" s="336"/>
      <c r="AI280" s="336"/>
      <c r="AJ280" s="336"/>
      <c r="AK280" s="336"/>
      <c r="AL280" s="336"/>
      <c r="AM280" s="336"/>
      <c r="AN280" s="336"/>
      <c r="AO280" s="336"/>
      <c r="AP280" s="337"/>
      <c r="AQ280" s="337"/>
      <c r="AR280" s="337"/>
      <c r="AS280" s="337"/>
      <c r="AT280" s="337"/>
      <c r="AU280" s="337"/>
      <c r="AV280" s="337"/>
      <c r="AW280" s="337"/>
      <c r="AX280" s="337"/>
      <c r="AY280" s="337"/>
      <c r="AZ280" s="337"/>
      <c r="BA280" s="337"/>
      <c r="BB280" s="338"/>
      <c r="BC280" s="339"/>
      <c r="BD280" s="340"/>
      <c r="BE280" s="341"/>
    </row>
    <row r="281" spans="1:57" x14ac:dyDescent="0.3">
      <c r="A281" s="241" t="str">
        <f t="shared" si="6"/>
        <v/>
      </c>
      <c r="B281" s="364"/>
      <c r="C281" s="362"/>
      <c r="D281" s="363"/>
      <c r="E281" s="366"/>
      <c r="F281" s="327"/>
      <c r="G281" s="329"/>
      <c r="H281" s="329"/>
      <c r="I281" s="329"/>
      <c r="J281" s="329"/>
      <c r="K281" s="329"/>
      <c r="L281" s="329"/>
      <c r="M281" s="329"/>
      <c r="N281" s="329"/>
      <c r="O281" s="330"/>
      <c r="P281" s="330"/>
      <c r="Q281" s="331"/>
      <c r="R281" s="331"/>
      <c r="S281" s="331"/>
      <c r="T281" s="331"/>
      <c r="U281" s="331"/>
      <c r="V281" s="331"/>
      <c r="W281" s="331"/>
      <c r="X281" s="332"/>
      <c r="Y281" s="331"/>
      <c r="Z281" s="329"/>
      <c r="AA281" s="333"/>
      <c r="AB281" s="334"/>
      <c r="AC281" s="335"/>
      <c r="AD281" s="336"/>
      <c r="AE281" s="336"/>
      <c r="AF281" s="336"/>
      <c r="AG281" s="336"/>
      <c r="AH281" s="336"/>
      <c r="AI281" s="336"/>
      <c r="AJ281" s="336"/>
      <c r="AK281" s="336"/>
      <c r="AL281" s="336"/>
      <c r="AM281" s="336"/>
      <c r="AN281" s="336"/>
      <c r="AO281" s="336"/>
      <c r="AP281" s="337"/>
      <c r="AQ281" s="337"/>
      <c r="AR281" s="337"/>
      <c r="AS281" s="337"/>
      <c r="AT281" s="337"/>
      <c r="AU281" s="337"/>
      <c r="AV281" s="337"/>
      <c r="AW281" s="337"/>
      <c r="AX281" s="337"/>
      <c r="AY281" s="337"/>
      <c r="AZ281" s="337"/>
      <c r="BA281" s="337"/>
      <c r="BB281" s="338"/>
      <c r="BC281" s="339"/>
      <c r="BD281" s="340"/>
      <c r="BE281" s="32"/>
    </row>
    <row r="282" spans="1:57" x14ac:dyDescent="0.3">
      <c r="A282" s="241" t="str">
        <f t="shared" si="6"/>
        <v/>
      </c>
      <c r="B282" s="364"/>
      <c r="C282" s="362"/>
      <c r="D282" s="363"/>
      <c r="E282" s="366"/>
      <c r="F282" s="327"/>
      <c r="G282" s="329"/>
      <c r="H282" s="329"/>
      <c r="I282" s="329"/>
      <c r="J282" s="329"/>
      <c r="K282" s="329"/>
      <c r="L282" s="329"/>
      <c r="M282" s="329"/>
      <c r="N282" s="329"/>
      <c r="O282" s="330"/>
      <c r="P282" s="330"/>
      <c r="Q282" s="331"/>
      <c r="R282" s="331"/>
      <c r="S282" s="331"/>
      <c r="T282" s="331"/>
      <c r="U282" s="331"/>
      <c r="V282" s="331"/>
      <c r="W282" s="331"/>
      <c r="X282" s="332"/>
      <c r="Y282" s="331"/>
      <c r="Z282" s="329"/>
      <c r="AA282" s="333"/>
      <c r="AB282" s="334"/>
      <c r="AC282" s="335"/>
      <c r="AD282" s="336"/>
      <c r="AE282" s="336"/>
      <c r="AF282" s="336"/>
      <c r="AG282" s="336"/>
      <c r="AH282" s="336"/>
      <c r="AI282" s="336"/>
      <c r="AJ282" s="336"/>
      <c r="AK282" s="336"/>
      <c r="AL282" s="336"/>
      <c r="AM282" s="336"/>
      <c r="AN282" s="336"/>
      <c r="AO282" s="336"/>
      <c r="AP282" s="337"/>
      <c r="AQ282" s="337"/>
      <c r="AR282" s="337"/>
      <c r="AS282" s="337"/>
      <c r="AT282" s="337"/>
      <c r="AU282" s="337"/>
      <c r="AV282" s="337"/>
      <c r="AW282" s="337"/>
      <c r="AX282" s="337"/>
      <c r="AY282" s="337"/>
      <c r="AZ282" s="337"/>
      <c r="BA282" s="337"/>
      <c r="BB282" s="338"/>
      <c r="BC282" s="339"/>
      <c r="BD282" s="340"/>
      <c r="BE282" s="32"/>
    </row>
    <row r="283" spans="1:57" x14ac:dyDescent="0.3">
      <c r="A283" s="241" t="str">
        <f t="shared" si="6"/>
        <v/>
      </c>
      <c r="B283" s="364"/>
      <c r="C283" s="362"/>
      <c r="D283" s="363"/>
      <c r="E283" s="366"/>
      <c r="F283" s="327"/>
      <c r="G283" s="329"/>
      <c r="H283" s="329"/>
      <c r="I283" s="329"/>
      <c r="J283" s="329"/>
      <c r="K283" s="329"/>
      <c r="L283" s="329"/>
      <c r="M283" s="329"/>
      <c r="N283" s="329"/>
      <c r="O283" s="330"/>
      <c r="P283" s="330"/>
      <c r="Q283" s="331"/>
      <c r="R283" s="331"/>
      <c r="S283" s="331"/>
      <c r="T283" s="331"/>
      <c r="U283" s="331"/>
      <c r="V283" s="331"/>
      <c r="W283" s="331"/>
      <c r="X283" s="332"/>
      <c r="Y283" s="331"/>
      <c r="Z283" s="329"/>
      <c r="AA283" s="333"/>
      <c r="AB283" s="334"/>
      <c r="AC283" s="335"/>
      <c r="AD283" s="336"/>
      <c r="AE283" s="336"/>
      <c r="AF283" s="336"/>
      <c r="AG283" s="336"/>
      <c r="AH283" s="336"/>
      <c r="AI283" s="336"/>
      <c r="AJ283" s="336"/>
      <c r="AK283" s="336"/>
      <c r="AL283" s="336"/>
      <c r="AM283" s="336"/>
      <c r="AN283" s="336"/>
      <c r="AO283" s="336"/>
      <c r="AP283" s="337"/>
      <c r="AQ283" s="337"/>
      <c r="AR283" s="337"/>
      <c r="AS283" s="337"/>
      <c r="AT283" s="337"/>
      <c r="AU283" s="337"/>
      <c r="AV283" s="337"/>
      <c r="AW283" s="337"/>
      <c r="AX283" s="337"/>
      <c r="AY283" s="337"/>
      <c r="AZ283" s="337"/>
      <c r="BA283" s="337"/>
      <c r="BB283" s="338"/>
      <c r="BC283" s="339"/>
      <c r="BD283" s="340"/>
      <c r="BE283" s="32"/>
    </row>
    <row r="284" spans="1:57" x14ac:dyDescent="0.3">
      <c r="A284" s="241" t="str">
        <f t="shared" si="6"/>
        <v/>
      </c>
      <c r="B284" s="364"/>
      <c r="C284" s="362"/>
      <c r="D284" s="363"/>
      <c r="E284" s="366"/>
      <c r="F284" s="327"/>
      <c r="G284" s="329"/>
      <c r="H284" s="329"/>
      <c r="I284" s="329"/>
      <c r="J284" s="329"/>
      <c r="K284" s="329"/>
      <c r="L284" s="329"/>
      <c r="M284" s="329"/>
      <c r="N284" s="329"/>
      <c r="O284" s="330"/>
      <c r="P284" s="330"/>
      <c r="Q284" s="331"/>
      <c r="R284" s="331"/>
      <c r="S284" s="331"/>
      <c r="T284" s="331"/>
      <c r="U284" s="331"/>
      <c r="V284" s="331"/>
      <c r="W284" s="331"/>
      <c r="X284" s="332"/>
      <c r="Y284" s="331"/>
      <c r="Z284" s="329"/>
      <c r="AA284" s="333"/>
      <c r="AB284" s="334"/>
      <c r="AC284" s="335"/>
      <c r="AD284" s="336"/>
      <c r="AE284" s="336"/>
      <c r="AF284" s="336"/>
      <c r="AG284" s="336"/>
      <c r="AH284" s="336"/>
      <c r="AI284" s="336"/>
      <c r="AJ284" s="336"/>
      <c r="AK284" s="336"/>
      <c r="AL284" s="336"/>
      <c r="AM284" s="336"/>
      <c r="AN284" s="336"/>
      <c r="AO284" s="336"/>
      <c r="AP284" s="337"/>
      <c r="AQ284" s="337"/>
      <c r="AR284" s="337"/>
      <c r="AS284" s="337"/>
      <c r="AT284" s="337"/>
      <c r="AU284" s="337"/>
      <c r="AV284" s="337"/>
      <c r="AW284" s="337"/>
      <c r="AX284" s="337"/>
      <c r="AY284" s="337"/>
      <c r="AZ284" s="337"/>
      <c r="BA284" s="337"/>
      <c r="BB284" s="338"/>
      <c r="BC284" s="339"/>
      <c r="BD284" s="340"/>
      <c r="BE284" s="32"/>
    </row>
    <row r="285" spans="1:57" x14ac:dyDescent="0.3">
      <c r="A285" s="241" t="str">
        <f t="shared" si="6"/>
        <v/>
      </c>
      <c r="B285" s="364"/>
      <c r="C285" s="362"/>
      <c r="D285" s="363"/>
      <c r="E285" s="365"/>
      <c r="F285" s="329"/>
      <c r="G285" s="329"/>
      <c r="H285" s="329"/>
      <c r="I285" s="329"/>
      <c r="J285" s="329"/>
      <c r="K285" s="329"/>
      <c r="L285" s="329"/>
      <c r="M285" s="329"/>
      <c r="N285" s="329"/>
      <c r="O285" s="330"/>
      <c r="P285" s="330"/>
      <c r="Q285" s="331"/>
      <c r="R285" s="331"/>
      <c r="S285" s="331"/>
      <c r="T285" s="331"/>
      <c r="U285" s="331"/>
      <c r="V285" s="331"/>
      <c r="W285" s="331"/>
      <c r="X285" s="332"/>
      <c r="Y285" s="331"/>
      <c r="Z285" s="329"/>
      <c r="AA285" s="333"/>
      <c r="AB285" s="334"/>
      <c r="AC285" s="335"/>
      <c r="AD285" s="336"/>
      <c r="AE285" s="336"/>
      <c r="AF285" s="336"/>
      <c r="AG285" s="336"/>
      <c r="AH285" s="336"/>
      <c r="AI285" s="336"/>
      <c r="AJ285" s="336"/>
      <c r="AK285" s="336"/>
      <c r="AL285" s="336"/>
      <c r="AM285" s="336"/>
      <c r="AN285" s="336"/>
      <c r="AO285" s="336"/>
      <c r="AP285" s="337"/>
      <c r="AQ285" s="337"/>
      <c r="AR285" s="337"/>
      <c r="AS285" s="337"/>
      <c r="AT285" s="337"/>
      <c r="AU285" s="337"/>
      <c r="AV285" s="337"/>
      <c r="AW285" s="337"/>
      <c r="AX285" s="337"/>
      <c r="AY285" s="337"/>
      <c r="AZ285" s="337"/>
      <c r="BA285" s="337"/>
      <c r="BB285" s="338"/>
      <c r="BC285" s="339"/>
      <c r="BD285" s="340"/>
      <c r="BE285" s="341"/>
    </row>
    <row r="286" spans="1:57" x14ac:dyDescent="0.3">
      <c r="A286" s="241" t="str">
        <f t="shared" si="6"/>
        <v/>
      </c>
      <c r="B286" s="364"/>
      <c r="C286" s="362"/>
      <c r="D286" s="363"/>
      <c r="E286" s="365"/>
      <c r="F286" s="327"/>
      <c r="G286" s="329"/>
      <c r="H286" s="329"/>
      <c r="I286" s="329"/>
      <c r="J286" s="329"/>
      <c r="K286" s="329"/>
      <c r="L286" s="329"/>
      <c r="M286" s="329"/>
      <c r="N286" s="329"/>
      <c r="O286" s="330"/>
      <c r="P286" s="330"/>
      <c r="Q286" s="331"/>
      <c r="R286" s="331"/>
      <c r="S286" s="331"/>
      <c r="T286" s="331"/>
      <c r="U286" s="331"/>
      <c r="V286" s="331"/>
      <c r="W286" s="331"/>
      <c r="X286" s="332"/>
      <c r="Y286" s="331"/>
      <c r="Z286" s="329"/>
      <c r="AA286" s="333"/>
      <c r="AB286" s="334"/>
      <c r="AC286" s="335"/>
      <c r="AD286" s="336"/>
      <c r="AE286" s="336"/>
      <c r="AF286" s="336"/>
      <c r="AG286" s="336"/>
      <c r="AH286" s="336"/>
      <c r="AI286" s="336"/>
      <c r="AJ286" s="336"/>
      <c r="AK286" s="336"/>
      <c r="AL286" s="336"/>
      <c r="AM286" s="336"/>
      <c r="AN286" s="336"/>
      <c r="AO286" s="336"/>
      <c r="AP286" s="337"/>
      <c r="AQ286" s="337"/>
      <c r="AR286" s="337"/>
      <c r="AS286" s="337"/>
      <c r="AT286" s="337"/>
      <c r="AU286" s="337"/>
      <c r="AV286" s="337"/>
      <c r="AW286" s="337"/>
      <c r="AX286" s="337"/>
      <c r="AY286" s="337"/>
      <c r="AZ286" s="337"/>
      <c r="BA286" s="337"/>
      <c r="BB286" s="338"/>
      <c r="BC286" s="339"/>
      <c r="BD286" s="340"/>
      <c r="BE286" s="341"/>
    </row>
    <row r="287" spans="1:57" x14ac:dyDescent="0.3">
      <c r="A287" s="241" t="str">
        <f t="shared" si="6"/>
        <v/>
      </c>
      <c r="B287" s="364"/>
      <c r="C287" s="362"/>
      <c r="D287" s="363"/>
      <c r="E287" s="365"/>
      <c r="F287" s="327"/>
      <c r="G287" s="329"/>
      <c r="H287" s="329"/>
      <c r="I287" s="329"/>
      <c r="J287" s="329"/>
      <c r="K287" s="329"/>
      <c r="L287" s="329"/>
      <c r="M287" s="329"/>
      <c r="N287" s="329"/>
      <c r="O287" s="330"/>
      <c r="P287" s="330"/>
      <c r="Q287" s="331"/>
      <c r="R287" s="331"/>
      <c r="S287" s="331"/>
      <c r="T287" s="331"/>
      <c r="U287" s="331"/>
      <c r="V287" s="331"/>
      <c r="W287" s="331"/>
      <c r="X287" s="332"/>
      <c r="Y287" s="331"/>
      <c r="Z287" s="329"/>
      <c r="AA287" s="333"/>
      <c r="AB287" s="334"/>
      <c r="AC287" s="335"/>
      <c r="AD287" s="336"/>
      <c r="AE287" s="336"/>
      <c r="AF287" s="336"/>
      <c r="AG287" s="336"/>
      <c r="AH287" s="336"/>
      <c r="AI287" s="336"/>
      <c r="AJ287" s="336"/>
      <c r="AK287" s="336"/>
      <c r="AL287" s="336"/>
      <c r="AM287" s="336"/>
      <c r="AN287" s="336"/>
      <c r="AO287" s="336"/>
      <c r="AP287" s="337"/>
      <c r="AQ287" s="337"/>
      <c r="AR287" s="337"/>
      <c r="AS287" s="337"/>
      <c r="AT287" s="337"/>
      <c r="AU287" s="337"/>
      <c r="AV287" s="337"/>
      <c r="AW287" s="337"/>
      <c r="AX287" s="337"/>
      <c r="AY287" s="337"/>
      <c r="AZ287" s="337"/>
      <c r="BA287" s="337"/>
      <c r="BB287" s="338"/>
      <c r="BC287" s="339"/>
      <c r="BD287" s="340"/>
      <c r="BE287" s="341"/>
    </row>
    <row r="288" spans="1:57" x14ac:dyDescent="0.3">
      <c r="A288" s="241" t="str">
        <f t="shared" si="6"/>
        <v/>
      </c>
      <c r="B288" s="367"/>
      <c r="C288" s="362"/>
      <c r="D288" s="363"/>
      <c r="E288" s="365"/>
      <c r="F288" s="327"/>
      <c r="G288" s="329"/>
      <c r="H288" s="329"/>
      <c r="I288" s="329"/>
      <c r="J288" s="329"/>
      <c r="K288" s="329"/>
      <c r="L288" s="329"/>
      <c r="M288" s="329"/>
      <c r="N288" s="329"/>
      <c r="O288" s="330"/>
      <c r="P288" s="330"/>
      <c r="Q288" s="331"/>
      <c r="R288" s="331"/>
      <c r="S288" s="331"/>
      <c r="T288" s="331"/>
      <c r="U288" s="331"/>
      <c r="V288" s="331"/>
      <c r="W288" s="331"/>
      <c r="X288" s="332"/>
      <c r="Y288" s="331"/>
      <c r="Z288" s="329"/>
      <c r="AA288" s="333"/>
      <c r="AB288" s="334"/>
      <c r="AC288" s="335"/>
      <c r="AD288" s="336"/>
      <c r="AE288" s="336"/>
      <c r="AF288" s="336"/>
      <c r="AG288" s="336"/>
      <c r="AH288" s="336"/>
      <c r="AI288" s="336"/>
      <c r="AJ288" s="336"/>
      <c r="AK288" s="336"/>
      <c r="AL288" s="336"/>
      <c r="AM288" s="336"/>
      <c r="AN288" s="336"/>
      <c r="AO288" s="336"/>
      <c r="AP288" s="337"/>
      <c r="AQ288" s="337"/>
      <c r="AR288" s="337"/>
      <c r="AS288" s="337"/>
      <c r="AT288" s="337"/>
      <c r="AU288" s="337"/>
      <c r="AV288" s="337"/>
      <c r="AW288" s="337"/>
      <c r="AX288" s="337"/>
      <c r="AY288" s="337"/>
      <c r="AZ288" s="337"/>
      <c r="BA288" s="337"/>
      <c r="BB288" s="338"/>
      <c r="BC288" s="339"/>
      <c r="BD288" s="340"/>
      <c r="BE288" s="341"/>
    </row>
    <row r="289" spans="1:57" x14ac:dyDescent="0.3">
      <c r="A289" s="241" t="str">
        <f t="shared" si="6"/>
        <v/>
      </c>
      <c r="B289" s="323"/>
      <c r="C289" s="324"/>
      <c r="D289" s="325"/>
      <c r="E289" s="349"/>
      <c r="F289" s="347"/>
      <c r="G289" s="30"/>
      <c r="H289" s="30"/>
      <c r="I289" s="30"/>
      <c r="J289" s="30"/>
      <c r="K289" s="30"/>
      <c r="L289" s="30"/>
      <c r="M289" s="30"/>
      <c r="N289" s="30"/>
      <c r="O289" s="154"/>
      <c r="P289" s="154"/>
      <c r="Q289" s="50"/>
      <c r="R289" s="50"/>
      <c r="S289" s="50"/>
      <c r="T289" s="50"/>
      <c r="U289" s="50"/>
      <c r="V289" s="50"/>
      <c r="W289" s="50"/>
      <c r="X289" s="51"/>
      <c r="Y289" s="50"/>
      <c r="Z289" s="30"/>
      <c r="AA289" s="104"/>
      <c r="AB289" s="10"/>
      <c r="AC289" s="60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8"/>
      <c r="BC289" s="147"/>
      <c r="BD289" s="54"/>
      <c r="BE289" s="32"/>
    </row>
    <row r="290" spans="1:57" x14ac:dyDescent="0.3">
      <c r="A290" s="241" t="str">
        <f t="shared" si="6"/>
        <v/>
      </c>
      <c r="B290" s="323"/>
      <c r="C290" s="324"/>
      <c r="D290" s="325"/>
      <c r="E290" s="349"/>
      <c r="F290" s="347"/>
      <c r="G290" s="30"/>
      <c r="H290" s="30"/>
      <c r="I290" s="30"/>
      <c r="J290" s="30"/>
      <c r="K290" s="30"/>
      <c r="L290" s="30"/>
      <c r="M290" s="30"/>
      <c r="N290" s="30"/>
      <c r="O290" s="154"/>
      <c r="P290" s="154"/>
      <c r="Q290" s="50"/>
      <c r="R290" s="50"/>
      <c r="S290" s="50"/>
      <c r="T290" s="50"/>
      <c r="U290" s="50"/>
      <c r="V290" s="50"/>
      <c r="W290" s="50"/>
      <c r="X290" s="51"/>
      <c r="Y290" s="50"/>
      <c r="Z290" s="30"/>
      <c r="AA290" s="104"/>
      <c r="AB290" s="10"/>
      <c r="AC290" s="60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8"/>
      <c r="BC290" s="147"/>
      <c r="BD290" s="54"/>
      <c r="BE290" s="32"/>
    </row>
    <row r="291" spans="1:57" x14ac:dyDescent="0.3">
      <c r="A291" s="241" t="str">
        <f t="shared" si="6"/>
        <v/>
      </c>
      <c r="B291" s="323"/>
      <c r="C291" s="324"/>
      <c r="D291" s="325"/>
      <c r="E291" s="349"/>
      <c r="F291" s="347"/>
      <c r="G291" s="30"/>
      <c r="H291" s="30"/>
      <c r="I291" s="30"/>
      <c r="J291" s="30"/>
      <c r="K291" s="30"/>
      <c r="L291" s="30"/>
      <c r="M291" s="30"/>
      <c r="N291" s="30"/>
      <c r="O291" s="154"/>
      <c r="P291" s="154"/>
      <c r="Q291" s="50"/>
      <c r="R291" s="50"/>
      <c r="S291" s="50"/>
      <c r="T291" s="50"/>
      <c r="U291" s="50"/>
      <c r="V291" s="50"/>
      <c r="W291" s="50"/>
      <c r="X291" s="51"/>
      <c r="Y291" s="50"/>
      <c r="Z291" s="30"/>
      <c r="AA291" s="104"/>
      <c r="AB291" s="10"/>
      <c r="AC291" s="60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8"/>
      <c r="BC291" s="147"/>
      <c r="BD291" s="54"/>
      <c r="BE291" s="32"/>
    </row>
    <row r="292" spans="1:57" x14ac:dyDescent="0.3">
      <c r="A292" s="241" t="str">
        <f t="shared" si="6"/>
        <v/>
      </c>
      <c r="B292" s="323"/>
      <c r="C292" s="324"/>
      <c r="D292" s="325"/>
      <c r="E292" s="349"/>
      <c r="F292" s="347"/>
      <c r="G292" s="30"/>
      <c r="H292" s="30"/>
      <c r="I292" s="30"/>
      <c r="J292" s="30"/>
      <c r="K292" s="30"/>
      <c r="L292" s="30"/>
      <c r="M292" s="30"/>
      <c r="N292" s="30"/>
      <c r="O292" s="154"/>
      <c r="P292" s="154"/>
      <c r="Q292" s="50"/>
      <c r="R292" s="50"/>
      <c r="S292" s="50"/>
      <c r="T292" s="50"/>
      <c r="U292" s="50"/>
      <c r="V292" s="50"/>
      <c r="W292" s="50"/>
      <c r="X292" s="51"/>
      <c r="Y292" s="50"/>
      <c r="Z292" s="30"/>
      <c r="AA292" s="104"/>
      <c r="AB292" s="10"/>
      <c r="AC292" s="60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8"/>
      <c r="BC292" s="147"/>
      <c r="BD292" s="54"/>
      <c r="BE292" s="32"/>
    </row>
    <row r="293" spans="1:57" x14ac:dyDescent="0.3">
      <c r="A293" s="241" t="str">
        <f t="shared" si="6"/>
        <v/>
      </c>
      <c r="B293" s="323"/>
      <c r="C293" s="324"/>
      <c r="D293" s="325"/>
      <c r="E293" s="349"/>
      <c r="F293" s="347"/>
      <c r="G293" s="30"/>
      <c r="H293" s="30"/>
      <c r="I293" s="30"/>
      <c r="J293" s="30"/>
      <c r="K293" s="30"/>
      <c r="L293" s="30"/>
      <c r="M293" s="30"/>
      <c r="N293" s="30"/>
      <c r="O293" s="154"/>
      <c r="P293" s="154"/>
      <c r="Q293" s="50"/>
      <c r="R293" s="50"/>
      <c r="S293" s="50"/>
      <c r="T293" s="50"/>
      <c r="U293" s="50"/>
      <c r="V293" s="50"/>
      <c r="W293" s="50"/>
      <c r="X293" s="51"/>
      <c r="Y293" s="50"/>
      <c r="Z293" s="30"/>
      <c r="AA293" s="104"/>
      <c r="AB293" s="10"/>
      <c r="AC293" s="60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8"/>
      <c r="BC293" s="147"/>
      <c r="BD293" s="54"/>
      <c r="BE293" s="32"/>
    </row>
    <row r="294" spans="1:57" x14ac:dyDescent="0.3">
      <c r="A294" s="241" t="str">
        <f t="shared" si="6"/>
        <v/>
      </c>
      <c r="B294" s="323"/>
      <c r="C294" s="324"/>
      <c r="D294" s="325"/>
      <c r="E294" s="349"/>
      <c r="F294" s="347"/>
      <c r="G294" s="30"/>
      <c r="H294" s="30"/>
      <c r="I294" s="30"/>
      <c r="J294" s="30"/>
      <c r="K294" s="30"/>
      <c r="L294" s="30"/>
      <c r="M294" s="30"/>
      <c r="N294" s="30"/>
      <c r="O294" s="154"/>
      <c r="P294" s="154"/>
      <c r="Q294" s="50"/>
      <c r="R294" s="50"/>
      <c r="S294" s="50"/>
      <c r="T294" s="50"/>
      <c r="U294" s="50"/>
      <c r="V294" s="50"/>
      <c r="W294" s="50"/>
      <c r="X294" s="51"/>
      <c r="Y294" s="50"/>
      <c r="Z294" s="30"/>
      <c r="AA294" s="104"/>
      <c r="AB294" s="10"/>
      <c r="AC294" s="60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8"/>
      <c r="BC294" s="147"/>
      <c r="BD294" s="54"/>
      <c r="BE294" s="32"/>
    </row>
    <row r="295" spans="1:57" x14ac:dyDescent="0.3">
      <c r="A295" s="241" t="str">
        <f t="shared" si="6"/>
        <v/>
      </c>
      <c r="B295" s="323"/>
      <c r="C295" s="324"/>
      <c r="D295" s="325"/>
      <c r="E295" s="349"/>
      <c r="F295" s="347"/>
      <c r="G295" s="30"/>
      <c r="H295" s="30"/>
      <c r="I295" s="30"/>
      <c r="J295" s="30"/>
      <c r="K295" s="30"/>
      <c r="L295" s="30"/>
      <c r="M295" s="30"/>
      <c r="N295" s="30"/>
      <c r="O295" s="154"/>
      <c r="P295" s="154"/>
      <c r="Q295" s="50"/>
      <c r="R295" s="50"/>
      <c r="S295" s="50"/>
      <c r="T295" s="50"/>
      <c r="U295" s="50"/>
      <c r="V295" s="50"/>
      <c r="W295" s="50"/>
      <c r="X295" s="51"/>
      <c r="Y295" s="50"/>
      <c r="Z295" s="30"/>
      <c r="AA295" s="104"/>
      <c r="AB295" s="10"/>
      <c r="AC295" s="60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8"/>
      <c r="BC295" s="147"/>
      <c r="BD295" s="54"/>
      <c r="BE295" s="32"/>
    </row>
    <row r="296" spans="1:57" x14ac:dyDescent="0.3">
      <c r="A296" s="241" t="str">
        <f t="shared" si="6"/>
        <v/>
      </c>
      <c r="B296" s="323"/>
      <c r="C296" s="324"/>
      <c r="D296" s="325"/>
      <c r="E296" s="349"/>
      <c r="F296" s="347"/>
      <c r="G296" s="30"/>
      <c r="H296" s="30"/>
      <c r="I296" s="30"/>
      <c r="J296" s="30"/>
      <c r="K296" s="30"/>
      <c r="L296" s="30"/>
      <c r="M296" s="30"/>
      <c r="N296" s="30"/>
      <c r="O296" s="154"/>
      <c r="P296" s="154"/>
      <c r="Q296" s="50"/>
      <c r="R296" s="50"/>
      <c r="S296" s="50"/>
      <c r="T296" s="50"/>
      <c r="U296" s="50"/>
      <c r="V296" s="50"/>
      <c r="W296" s="50"/>
      <c r="X296" s="51"/>
      <c r="Y296" s="50"/>
      <c r="Z296" s="30"/>
      <c r="AA296" s="104"/>
      <c r="AB296" s="10"/>
      <c r="AC296" s="60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8"/>
      <c r="BC296" s="147"/>
      <c r="BD296" s="54"/>
      <c r="BE296" s="32"/>
    </row>
    <row r="297" spans="1:57" x14ac:dyDescent="0.3">
      <c r="A297" s="241" t="str">
        <f t="shared" si="6"/>
        <v/>
      </c>
      <c r="B297" s="323"/>
      <c r="C297" s="324"/>
      <c r="D297" s="325"/>
      <c r="E297" s="349"/>
      <c r="F297" s="347"/>
      <c r="G297" s="30"/>
      <c r="H297" s="30"/>
      <c r="I297" s="30"/>
      <c r="J297" s="30"/>
      <c r="K297" s="30"/>
      <c r="L297" s="30"/>
      <c r="M297" s="30"/>
      <c r="N297" s="30"/>
      <c r="O297" s="154"/>
      <c r="P297" s="154"/>
      <c r="Q297" s="50"/>
      <c r="R297" s="50"/>
      <c r="S297" s="50"/>
      <c r="T297" s="50"/>
      <c r="U297" s="50"/>
      <c r="V297" s="50"/>
      <c r="W297" s="50"/>
      <c r="X297" s="51"/>
      <c r="Y297" s="50"/>
      <c r="Z297" s="30"/>
      <c r="AA297" s="104"/>
      <c r="AB297" s="10"/>
      <c r="AC297" s="60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8"/>
      <c r="BC297" s="147"/>
      <c r="BD297" s="54"/>
      <c r="BE297" s="32"/>
    </row>
    <row r="298" spans="1:57" x14ac:dyDescent="0.3">
      <c r="A298" s="241" t="str">
        <f t="shared" si="6"/>
        <v/>
      </c>
      <c r="B298" s="323"/>
      <c r="C298" s="324"/>
      <c r="D298" s="325"/>
      <c r="E298" s="349"/>
      <c r="F298" s="347"/>
      <c r="G298" s="30"/>
      <c r="H298" s="30"/>
      <c r="I298" s="30"/>
      <c r="J298" s="30"/>
      <c r="K298" s="30"/>
      <c r="L298" s="30"/>
      <c r="M298" s="30"/>
      <c r="N298" s="30"/>
      <c r="O298" s="154"/>
      <c r="P298" s="154"/>
      <c r="Q298" s="50"/>
      <c r="R298" s="50"/>
      <c r="S298" s="50"/>
      <c r="T298" s="50"/>
      <c r="U298" s="50"/>
      <c r="V298" s="50"/>
      <c r="W298" s="50"/>
      <c r="X298" s="51"/>
      <c r="Y298" s="50"/>
      <c r="Z298" s="30"/>
      <c r="AA298" s="104"/>
      <c r="AB298" s="10"/>
      <c r="AC298" s="60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8"/>
      <c r="BC298" s="147"/>
      <c r="BD298" s="54"/>
      <c r="BE298" s="32"/>
    </row>
    <row r="299" spans="1:57" x14ac:dyDescent="0.3">
      <c r="A299" s="241" t="str">
        <f t="shared" si="6"/>
        <v/>
      </c>
      <c r="B299" s="323"/>
      <c r="C299" s="324"/>
      <c r="D299" s="325"/>
      <c r="E299" s="349"/>
      <c r="F299" s="347"/>
      <c r="G299" s="30"/>
      <c r="H299" s="30"/>
      <c r="I299" s="30"/>
      <c r="J299" s="30"/>
      <c r="K299" s="30"/>
      <c r="L299" s="30"/>
      <c r="M299" s="30"/>
      <c r="N299" s="30"/>
      <c r="O299" s="154"/>
      <c r="P299" s="154"/>
      <c r="Q299" s="50"/>
      <c r="R299" s="50"/>
      <c r="S299" s="50"/>
      <c r="T299" s="50"/>
      <c r="U299" s="50"/>
      <c r="V299" s="50"/>
      <c r="W299" s="50"/>
      <c r="X299" s="51"/>
      <c r="Y299" s="50"/>
      <c r="Z299" s="30"/>
      <c r="AA299" s="104"/>
      <c r="AB299" s="10"/>
      <c r="AC299" s="60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8"/>
      <c r="BC299" s="147"/>
      <c r="BD299" s="54"/>
      <c r="BE299" s="32"/>
    </row>
    <row r="300" spans="1:57" x14ac:dyDescent="0.3">
      <c r="A300" s="241" t="str">
        <f t="shared" si="6"/>
        <v/>
      </c>
      <c r="B300" s="323"/>
      <c r="C300" s="324"/>
      <c r="D300" s="325"/>
      <c r="E300" s="349"/>
      <c r="F300" s="347"/>
      <c r="G300" s="30"/>
      <c r="H300" s="30"/>
      <c r="I300" s="30"/>
      <c r="J300" s="30"/>
      <c r="K300" s="30"/>
      <c r="L300" s="30"/>
      <c r="M300" s="30"/>
      <c r="N300" s="30"/>
      <c r="O300" s="154"/>
      <c r="P300" s="154"/>
      <c r="Q300" s="50"/>
      <c r="R300" s="50"/>
      <c r="S300" s="50"/>
      <c r="T300" s="50"/>
      <c r="U300" s="50"/>
      <c r="V300" s="50"/>
      <c r="W300" s="50"/>
      <c r="X300" s="51"/>
      <c r="Y300" s="50"/>
      <c r="Z300" s="30"/>
      <c r="AA300" s="104"/>
      <c r="AB300" s="10"/>
      <c r="AC300" s="60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8"/>
      <c r="BC300" s="147"/>
      <c r="BD300" s="54"/>
      <c r="BE300" s="32"/>
    </row>
    <row r="301" spans="1:57" x14ac:dyDescent="0.3">
      <c r="A301" s="241" t="str">
        <f t="shared" si="6"/>
        <v/>
      </c>
      <c r="B301" s="323"/>
      <c r="C301" s="324"/>
      <c r="D301" s="325"/>
      <c r="E301" s="349"/>
      <c r="F301" s="347"/>
      <c r="G301" s="30"/>
      <c r="H301" s="30"/>
      <c r="I301" s="30"/>
      <c r="J301" s="30"/>
      <c r="K301" s="30"/>
      <c r="L301" s="30"/>
      <c r="M301" s="30"/>
      <c r="N301" s="30"/>
      <c r="O301" s="154"/>
      <c r="P301" s="154"/>
      <c r="Q301" s="50"/>
      <c r="R301" s="50"/>
      <c r="S301" s="50"/>
      <c r="T301" s="50"/>
      <c r="U301" s="50"/>
      <c r="V301" s="50"/>
      <c r="W301" s="50"/>
      <c r="X301" s="51"/>
      <c r="Y301" s="50"/>
      <c r="Z301" s="30"/>
      <c r="AA301" s="104"/>
      <c r="AB301" s="10"/>
      <c r="AC301" s="60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8"/>
      <c r="BC301" s="147"/>
      <c r="BD301" s="54"/>
      <c r="BE301" s="32"/>
    </row>
    <row r="302" spans="1:57" x14ac:dyDescent="0.3">
      <c r="A302" s="241" t="str">
        <f t="shared" si="6"/>
        <v/>
      </c>
      <c r="B302" s="323"/>
      <c r="C302" s="324"/>
      <c r="D302" s="325"/>
      <c r="E302" s="349"/>
      <c r="F302" s="347"/>
      <c r="G302" s="30"/>
      <c r="H302" s="30"/>
      <c r="I302" s="30"/>
      <c r="J302" s="30"/>
      <c r="K302" s="30"/>
      <c r="L302" s="30"/>
      <c r="M302" s="30"/>
      <c r="N302" s="30"/>
      <c r="O302" s="154"/>
      <c r="P302" s="154"/>
      <c r="Q302" s="50"/>
      <c r="R302" s="50"/>
      <c r="S302" s="50"/>
      <c r="T302" s="50"/>
      <c r="U302" s="50"/>
      <c r="V302" s="50"/>
      <c r="W302" s="50"/>
      <c r="X302" s="51"/>
      <c r="Y302" s="50"/>
      <c r="Z302" s="30"/>
      <c r="AA302" s="104"/>
      <c r="AB302" s="10"/>
      <c r="AC302" s="60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8"/>
      <c r="BC302" s="147"/>
      <c r="BD302" s="54"/>
      <c r="BE302" s="32"/>
    </row>
    <row r="303" spans="1:57" x14ac:dyDescent="0.3">
      <c r="A303" s="241" t="str">
        <f t="shared" si="6"/>
        <v/>
      </c>
      <c r="B303" s="323"/>
      <c r="C303" s="324"/>
      <c r="D303" s="325"/>
      <c r="E303" s="349"/>
      <c r="F303" s="347"/>
      <c r="G303" s="30"/>
      <c r="H303" s="30"/>
      <c r="I303" s="30"/>
      <c r="J303" s="30"/>
      <c r="K303" s="30"/>
      <c r="L303" s="30"/>
      <c r="M303" s="30"/>
      <c r="N303" s="30"/>
      <c r="O303" s="154"/>
      <c r="P303" s="154"/>
      <c r="Q303" s="50"/>
      <c r="R303" s="50"/>
      <c r="S303" s="50"/>
      <c r="T303" s="50"/>
      <c r="U303" s="50"/>
      <c r="V303" s="50"/>
      <c r="W303" s="50"/>
      <c r="X303" s="51"/>
      <c r="Y303" s="50"/>
      <c r="Z303" s="30"/>
      <c r="AA303" s="104"/>
      <c r="AB303" s="10"/>
      <c r="AC303" s="60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8"/>
      <c r="BC303" s="147"/>
      <c r="BD303" s="54"/>
      <c r="BE303" s="32"/>
    </row>
    <row r="304" spans="1:57" x14ac:dyDescent="0.3">
      <c r="A304" s="241" t="str">
        <f t="shared" si="6"/>
        <v/>
      </c>
      <c r="B304" s="323"/>
      <c r="C304" s="324"/>
      <c r="D304" s="325"/>
      <c r="E304" s="349"/>
      <c r="F304" s="347"/>
      <c r="G304" s="30"/>
      <c r="H304" s="30"/>
      <c r="I304" s="30"/>
      <c r="J304" s="30"/>
      <c r="K304" s="30"/>
      <c r="L304" s="30"/>
      <c r="M304" s="30"/>
      <c r="N304" s="30"/>
      <c r="O304" s="154"/>
      <c r="P304" s="154"/>
      <c r="Q304" s="50"/>
      <c r="R304" s="50"/>
      <c r="S304" s="50"/>
      <c r="T304" s="50"/>
      <c r="U304" s="50"/>
      <c r="V304" s="50"/>
      <c r="W304" s="50"/>
      <c r="X304" s="51"/>
      <c r="Y304" s="50"/>
      <c r="Z304" s="30"/>
      <c r="AA304" s="104"/>
      <c r="AB304" s="10"/>
      <c r="AC304" s="60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8"/>
      <c r="BC304" s="147"/>
      <c r="BD304" s="54"/>
      <c r="BE304" s="32"/>
    </row>
    <row r="305" spans="1:57" x14ac:dyDescent="0.3">
      <c r="A305" s="241" t="str">
        <f t="shared" si="6"/>
        <v/>
      </c>
      <c r="B305" s="323"/>
      <c r="C305" s="324"/>
      <c r="D305" s="325"/>
      <c r="E305" s="349"/>
      <c r="F305" s="347"/>
      <c r="G305" s="30"/>
      <c r="H305" s="30"/>
      <c r="I305" s="30"/>
      <c r="J305" s="30"/>
      <c r="K305" s="30"/>
      <c r="L305" s="30"/>
      <c r="M305" s="30"/>
      <c r="N305" s="30"/>
      <c r="O305" s="154"/>
      <c r="P305" s="154"/>
      <c r="Q305" s="50"/>
      <c r="R305" s="50"/>
      <c r="S305" s="50"/>
      <c r="T305" s="50"/>
      <c r="U305" s="50"/>
      <c r="V305" s="50"/>
      <c r="W305" s="50"/>
      <c r="X305" s="51"/>
      <c r="Y305" s="50"/>
      <c r="Z305" s="30"/>
      <c r="AA305" s="104"/>
      <c r="AB305" s="10"/>
      <c r="AC305" s="60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8"/>
      <c r="BC305" s="147"/>
      <c r="BD305" s="54"/>
      <c r="BE305" s="32"/>
    </row>
    <row r="306" spans="1:57" x14ac:dyDescent="0.3">
      <c r="A306" s="241" t="str">
        <f t="shared" si="6"/>
        <v/>
      </c>
      <c r="B306" s="323"/>
      <c r="C306" s="324"/>
      <c r="D306" s="325"/>
      <c r="E306" s="349"/>
      <c r="F306" s="347"/>
      <c r="G306" s="30"/>
      <c r="H306" s="30"/>
      <c r="I306" s="30"/>
      <c r="J306" s="30"/>
      <c r="K306" s="30"/>
      <c r="L306" s="30"/>
      <c r="M306" s="30"/>
      <c r="N306" s="30"/>
      <c r="O306" s="154"/>
      <c r="P306" s="154"/>
      <c r="Q306" s="50"/>
      <c r="R306" s="50"/>
      <c r="S306" s="50"/>
      <c r="T306" s="50"/>
      <c r="U306" s="50"/>
      <c r="V306" s="50"/>
      <c r="W306" s="50"/>
      <c r="X306" s="51"/>
      <c r="Y306" s="50"/>
      <c r="Z306" s="30"/>
      <c r="AA306" s="104"/>
      <c r="AB306" s="10"/>
      <c r="AC306" s="60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8"/>
      <c r="BC306" s="147"/>
      <c r="BD306" s="54"/>
      <c r="BE306" s="32"/>
    </row>
    <row r="307" spans="1:57" x14ac:dyDescent="0.3">
      <c r="A307" s="241" t="str">
        <f t="shared" si="6"/>
        <v/>
      </c>
      <c r="B307" s="323"/>
      <c r="C307" s="324"/>
      <c r="D307" s="325"/>
      <c r="E307" s="349"/>
      <c r="F307" s="347"/>
      <c r="G307" s="30"/>
      <c r="H307" s="30"/>
      <c r="I307" s="30"/>
      <c r="J307" s="30"/>
      <c r="K307" s="30"/>
      <c r="L307" s="30"/>
      <c r="M307" s="30"/>
      <c r="N307" s="30"/>
      <c r="O307" s="154"/>
      <c r="P307" s="154"/>
      <c r="Q307" s="50"/>
      <c r="R307" s="50"/>
      <c r="S307" s="50"/>
      <c r="T307" s="50"/>
      <c r="U307" s="50"/>
      <c r="V307" s="50"/>
      <c r="W307" s="50"/>
      <c r="X307" s="51"/>
      <c r="Y307" s="50"/>
      <c r="Z307" s="30"/>
      <c r="AA307" s="104"/>
      <c r="AB307" s="10"/>
      <c r="AC307" s="60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8"/>
      <c r="BC307" s="147"/>
      <c r="BD307" s="54"/>
      <c r="BE307" s="32"/>
    </row>
    <row r="308" spans="1:57" x14ac:dyDescent="0.3">
      <c r="A308" s="241" t="str">
        <f t="shared" si="6"/>
        <v/>
      </c>
      <c r="B308" s="323"/>
      <c r="C308" s="324"/>
      <c r="D308" s="325"/>
      <c r="E308" s="349"/>
      <c r="F308" s="347"/>
      <c r="G308" s="30"/>
      <c r="H308" s="30"/>
      <c r="I308" s="30"/>
      <c r="J308" s="30"/>
      <c r="K308" s="30"/>
      <c r="L308" s="30"/>
      <c r="M308" s="30"/>
      <c r="N308" s="30"/>
      <c r="O308" s="154"/>
      <c r="P308" s="154"/>
      <c r="Q308" s="50"/>
      <c r="R308" s="50"/>
      <c r="S308" s="50"/>
      <c r="T308" s="50"/>
      <c r="U308" s="50"/>
      <c r="V308" s="50"/>
      <c r="W308" s="50"/>
      <c r="X308" s="51"/>
      <c r="Y308" s="50"/>
      <c r="Z308" s="30"/>
      <c r="AA308" s="104"/>
      <c r="AB308" s="10"/>
      <c r="AC308" s="60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8"/>
      <c r="BC308" s="147"/>
      <c r="BD308" s="54"/>
      <c r="BE308" s="32"/>
    </row>
    <row r="309" spans="1:57" x14ac:dyDescent="0.3">
      <c r="A309" s="241" t="str">
        <f t="shared" si="6"/>
        <v/>
      </c>
      <c r="B309" s="323"/>
      <c r="C309" s="324"/>
      <c r="D309" s="325"/>
      <c r="E309" s="349"/>
      <c r="F309" s="347"/>
      <c r="G309" s="30"/>
      <c r="H309" s="30"/>
      <c r="I309" s="30"/>
      <c r="J309" s="30"/>
      <c r="K309" s="30"/>
      <c r="L309" s="30"/>
      <c r="M309" s="30"/>
      <c r="N309" s="30"/>
      <c r="O309" s="154"/>
      <c r="P309" s="154"/>
      <c r="Q309" s="50"/>
      <c r="R309" s="50"/>
      <c r="S309" s="50"/>
      <c r="T309" s="50"/>
      <c r="U309" s="50"/>
      <c r="V309" s="50"/>
      <c r="W309" s="50"/>
      <c r="X309" s="51"/>
      <c r="Y309" s="50"/>
      <c r="Z309" s="30"/>
      <c r="AA309" s="104"/>
      <c r="AB309" s="10"/>
      <c r="AC309" s="60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8"/>
      <c r="BC309" s="147"/>
      <c r="BD309" s="54"/>
      <c r="BE309" s="32"/>
    </row>
    <row r="310" spans="1:57" x14ac:dyDescent="0.3">
      <c r="A310" s="241" t="str">
        <f t="shared" si="6"/>
        <v/>
      </c>
      <c r="B310" s="323"/>
      <c r="C310" s="324"/>
      <c r="D310" s="325"/>
      <c r="E310" s="349"/>
      <c r="F310" s="347"/>
      <c r="G310" s="30"/>
      <c r="H310" s="30"/>
      <c r="I310" s="30"/>
      <c r="J310" s="30"/>
      <c r="K310" s="30"/>
      <c r="L310" s="30"/>
      <c r="M310" s="30"/>
      <c r="N310" s="30"/>
      <c r="O310" s="154"/>
      <c r="P310" s="154"/>
      <c r="Q310" s="50"/>
      <c r="R310" s="50"/>
      <c r="S310" s="50"/>
      <c r="T310" s="50"/>
      <c r="U310" s="50"/>
      <c r="V310" s="50"/>
      <c r="W310" s="50"/>
      <c r="X310" s="51"/>
      <c r="Y310" s="50"/>
      <c r="Z310" s="30"/>
      <c r="AA310" s="104"/>
      <c r="AB310" s="10"/>
      <c r="AC310" s="60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8"/>
      <c r="BC310" s="147"/>
      <c r="BD310" s="54"/>
      <c r="BE310" s="32"/>
    </row>
    <row r="311" spans="1:57" x14ac:dyDescent="0.3">
      <c r="A311" s="241" t="str">
        <f t="shared" si="6"/>
        <v/>
      </c>
      <c r="B311" s="323"/>
      <c r="C311" s="324"/>
      <c r="D311" s="325"/>
      <c r="E311" s="349"/>
      <c r="F311" s="347"/>
      <c r="G311" s="30"/>
      <c r="H311" s="30"/>
      <c r="I311" s="30"/>
      <c r="J311" s="30"/>
      <c r="K311" s="30"/>
      <c r="L311" s="30"/>
      <c r="M311" s="30"/>
      <c r="N311" s="30"/>
      <c r="O311" s="154"/>
      <c r="P311" s="154"/>
      <c r="Q311" s="50"/>
      <c r="R311" s="50"/>
      <c r="S311" s="50"/>
      <c r="T311" s="50"/>
      <c r="U311" s="50"/>
      <c r="V311" s="50"/>
      <c r="W311" s="50"/>
      <c r="X311" s="51"/>
      <c r="Y311" s="50"/>
      <c r="Z311" s="30"/>
      <c r="AA311" s="104"/>
      <c r="AB311" s="10"/>
      <c r="AC311" s="60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8"/>
      <c r="BC311" s="147"/>
      <c r="BD311" s="54"/>
      <c r="BE311" s="32"/>
    </row>
    <row r="312" spans="1:57" x14ac:dyDescent="0.3">
      <c r="A312" s="241" t="str">
        <f t="shared" si="6"/>
        <v/>
      </c>
      <c r="B312" s="323"/>
      <c r="C312" s="324"/>
      <c r="D312" s="325"/>
      <c r="E312" s="349"/>
      <c r="F312" s="347"/>
      <c r="G312" s="30"/>
      <c r="H312" s="30"/>
      <c r="I312" s="30"/>
      <c r="J312" s="30"/>
      <c r="K312" s="30"/>
      <c r="L312" s="30"/>
      <c r="M312" s="30"/>
      <c r="N312" s="30"/>
      <c r="O312" s="154"/>
      <c r="P312" s="154"/>
      <c r="Q312" s="50"/>
      <c r="R312" s="50"/>
      <c r="S312" s="50"/>
      <c r="T312" s="50"/>
      <c r="U312" s="50"/>
      <c r="V312" s="50"/>
      <c r="W312" s="50"/>
      <c r="X312" s="51"/>
      <c r="Y312" s="50"/>
      <c r="Z312" s="30"/>
      <c r="AA312" s="104"/>
      <c r="AB312" s="10"/>
      <c r="AC312" s="60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8"/>
      <c r="BC312" s="147"/>
      <c r="BD312" s="54"/>
      <c r="BE312" s="32"/>
    </row>
    <row r="313" spans="1:57" x14ac:dyDescent="0.3">
      <c r="A313" s="241" t="str">
        <f t="shared" si="6"/>
        <v/>
      </c>
      <c r="B313" s="323"/>
      <c r="C313" s="324"/>
      <c r="D313" s="325"/>
      <c r="E313" s="349"/>
      <c r="F313" s="347"/>
      <c r="G313" s="30"/>
      <c r="H313" s="30"/>
      <c r="I313" s="30"/>
      <c r="J313" s="30"/>
      <c r="K313" s="30"/>
      <c r="L313" s="30"/>
      <c r="M313" s="30"/>
      <c r="N313" s="30"/>
      <c r="O313" s="154"/>
      <c r="P313" s="154"/>
      <c r="Q313" s="50"/>
      <c r="R313" s="50"/>
      <c r="S313" s="50"/>
      <c r="T313" s="50"/>
      <c r="U313" s="50"/>
      <c r="V313" s="50"/>
      <c r="W313" s="50"/>
      <c r="X313" s="51"/>
      <c r="Y313" s="50"/>
      <c r="Z313" s="30"/>
      <c r="AA313" s="104"/>
      <c r="AB313" s="10"/>
      <c r="AC313" s="60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8"/>
      <c r="BC313" s="147"/>
      <c r="BD313" s="54"/>
      <c r="BE313" s="32"/>
    </row>
    <row r="314" spans="1:57" x14ac:dyDescent="0.3">
      <c r="A314" s="241" t="str">
        <f t="shared" si="6"/>
        <v/>
      </c>
      <c r="B314" s="323"/>
      <c r="C314" s="324"/>
      <c r="D314" s="325"/>
      <c r="E314" s="349"/>
      <c r="F314" s="347"/>
      <c r="G314" s="30"/>
      <c r="H314" s="30"/>
      <c r="I314" s="30"/>
      <c r="J314" s="30"/>
      <c r="K314" s="30"/>
      <c r="L314" s="30"/>
      <c r="M314" s="30"/>
      <c r="N314" s="30"/>
      <c r="O314" s="154"/>
      <c r="P314" s="154"/>
      <c r="Q314" s="50"/>
      <c r="R314" s="50"/>
      <c r="S314" s="50"/>
      <c r="T314" s="50"/>
      <c r="U314" s="50"/>
      <c r="V314" s="50"/>
      <c r="W314" s="50"/>
      <c r="X314" s="51"/>
      <c r="Y314" s="50"/>
      <c r="Z314" s="30"/>
      <c r="AA314" s="104"/>
      <c r="AB314" s="10"/>
      <c r="AC314" s="60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8"/>
      <c r="BC314" s="147"/>
      <c r="BD314" s="54"/>
      <c r="BE314" s="32"/>
    </row>
    <row r="315" spans="1:57" x14ac:dyDescent="0.3">
      <c r="A315" s="241" t="str">
        <f t="shared" si="6"/>
        <v/>
      </c>
      <c r="B315" s="323"/>
      <c r="C315" s="324"/>
      <c r="D315" s="325"/>
      <c r="E315" s="349"/>
      <c r="F315" s="347"/>
      <c r="G315" s="30"/>
      <c r="H315" s="30"/>
      <c r="I315" s="30"/>
      <c r="J315" s="30"/>
      <c r="K315" s="30"/>
      <c r="L315" s="30"/>
      <c r="M315" s="30"/>
      <c r="N315" s="30"/>
      <c r="O315" s="154"/>
      <c r="P315" s="154"/>
      <c r="Q315" s="50"/>
      <c r="R315" s="50"/>
      <c r="S315" s="50"/>
      <c r="T315" s="50"/>
      <c r="U315" s="50"/>
      <c r="V315" s="50"/>
      <c r="W315" s="50"/>
      <c r="X315" s="51"/>
      <c r="Y315" s="50"/>
      <c r="Z315" s="30"/>
      <c r="AA315" s="104"/>
      <c r="AB315" s="10"/>
      <c r="AC315" s="60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8"/>
      <c r="BC315" s="147"/>
      <c r="BD315" s="54"/>
      <c r="BE315" s="32"/>
    </row>
    <row r="316" spans="1:57" x14ac:dyDescent="0.3">
      <c r="A316" s="241" t="str">
        <f t="shared" si="6"/>
        <v/>
      </c>
      <c r="B316" s="323"/>
      <c r="C316" s="324"/>
      <c r="D316" s="325"/>
      <c r="E316" s="349"/>
      <c r="F316" s="347"/>
      <c r="G316" s="30"/>
      <c r="H316" s="30"/>
      <c r="I316" s="30"/>
      <c r="J316" s="30"/>
      <c r="K316" s="30"/>
      <c r="L316" s="30"/>
      <c r="M316" s="30"/>
      <c r="N316" s="30"/>
      <c r="O316" s="154"/>
      <c r="P316" s="154"/>
      <c r="Q316" s="50"/>
      <c r="R316" s="50"/>
      <c r="S316" s="50"/>
      <c r="T316" s="50"/>
      <c r="U316" s="50"/>
      <c r="V316" s="50"/>
      <c r="W316" s="50"/>
      <c r="X316" s="51"/>
      <c r="Y316" s="50"/>
      <c r="Z316" s="30"/>
      <c r="AA316" s="104"/>
      <c r="AB316" s="10"/>
      <c r="AC316" s="60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8"/>
      <c r="BC316" s="147"/>
      <c r="BD316" s="54"/>
      <c r="BE316" s="32"/>
    </row>
    <row r="317" spans="1:57" x14ac:dyDescent="0.3">
      <c r="A317" s="241" t="str">
        <f t="shared" si="6"/>
        <v/>
      </c>
      <c r="B317" s="323"/>
      <c r="C317" s="324"/>
      <c r="D317" s="325"/>
      <c r="E317" s="349"/>
      <c r="F317" s="347"/>
      <c r="G317" s="30"/>
      <c r="H317" s="30"/>
      <c r="I317" s="30"/>
      <c r="J317" s="30"/>
      <c r="K317" s="30"/>
      <c r="L317" s="30"/>
      <c r="M317" s="30"/>
      <c r="N317" s="30"/>
      <c r="O317" s="154"/>
      <c r="P317" s="154"/>
      <c r="Q317" s="50"/>
      <c r="R317" s="50"/>
      <c r="S317" s="50"/>
      <c r="T317" s="50"/>
      <c r="U317" s="50"/>
      <c r="V317" s="50"/>
      <c r="W317" s="50"/>
      <c r="X317" s="51"/>
      <c r="Y317" s="50"/>
      <c r="Z317" s="30"/>
      <c r="AA317" s="104"/>
      <c r="AB317" s="10"/>
      <c r="AC317" s="60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8"/>
      <c r="BC317" s="147"/>
      <c r="BD317" s="54"/>
      <c r="BE317" s="32"/>
    </row>
    <row r="318" spans="1:57" x14ac:dyDescent="0.3">
      <c r="A318" s="241" t="str">
        <f t="shared" si="6"/>
        <v/>
      </c>
      <c r="B318" s="323"/>
      <c r="C318" s="324"/>
      <c r="D318" s="325"/>
      <c r="E318" s="349"/>
      <c r="F318" s="347"/>
      <c r="G318" s="30"/>
      <c r="H318" s="30"/>
      <c r="I318" s="30"/>
      <c r="J318" s="30"/>
      <c r="K318" s="30"/>
      <c r="L318" s="30"/>
      <c r="M318" s="30"/>
      <c r="N318" s="30"/>
      <c r="O318" s="154"/>
      <c r="P318" s="154"/>
      <c r="Q318" s="50"/>
      <c r="R318" s="50"/>
      <c r="S318" s="50"/>
      <c r="T318" s="50"/>
      <c r="U318" s="50"/>
      <c r="V318" s="50"/>
      <c r="W318" s="50"/>
      <c r="X318" s="51"/>
      <c r="Y318" s="50"/>
      <c r="Z318" s="30"/>
      <c r="AA318" s="104"/>
      <c r="AB318" s="10"/>
      <c r="AC318" s="60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8"/>
      <c r="BC318" s="147"/>
      <c r="BD318" s="54"/>
      <c r="BE318" s="32"/>
    </row>
    <row r="319" spans="1:57" x14ac:dyDescent="0.3">
      <c r="A319" s="241" t="str">
        <f t="shared" si="6"/>
        <v/>
      </c>
      <c r="B319" s="323"/>
      <c r="C319" s="324"/>
      <c r="D319" s="325"/>
      <c r="E319" s="349"/>
      <c r="F319" s="347"/>
      <c r="G319" s="30"/>
      <c r="H319" s="30"/>
      <c r="I319" s="30"/>
      <c r="J319" s="30"/>
      <c r="K319" s="30"/>
      <c r="L319" s="30"/>
      <c r="M319" s="30"/>
      <c r="N319" s="30"/>
      <c r="O319" s="154"/>
      <c r="P319" s="154"/>
      <c r="Q319" s="50"/>
      <c r="R319" s="50"/>
      <c r="S319" s="50"/>
      <c r="T319" s="50"/>
      <c r="U319" s="50"/>
      <c r="V319" s="50"/>
      <c r="W319" s="50"/>
      <c r="X319" s="51"/>
      <c r="Y319" s="50"/>
      <c r="Z319" s="30"/>
      <c r="AA319" s="104"/>
      <c r="AB319" s="10"/>
      <c r="AC319" s="60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8"/>
      <c r="BC319" s="147"/>
      <c r="BD319" s="54"/>
      <c r="BE319" s="32"/>
    </row>
    <row r="320" spans="1:57" x14ac:dyDescent="0.3">
      <c r="A320" s="241" t="str">
        <f t="shared" si="6"/>
        <v/>
      </c>
      <c r="B320" s="323"/>
      <c r="C320" s="324"/>
      <c r="D320" s="325"/>
      <c r="E320" s="349"/>
      <c r="F320" s="347"/>
      <c r="G320" s="30"/>
      <c r="H320" s="30"/>
      <c r="I320" s="30"/>
      <c r="J320" s="30"/>
      <c r="K320" s="30"/>
      <c r="L320" s="30"/>
      <c r="M320" s="30"/>
      <c r="N320" s="30"/>
      <c r="O320" s="154"/>
      <c r="P320" s="154"/>
      <c r="Q320" s="50"/>
      <c r="R320" s="50"/>
      <c r="S320" s="50"/>
      <c r="T320" s="50"/>
      <c r="U320" s="50"/>
      <c r="V320" s="50"/>
      <c r="W320" s="50"/>
      <c r="X320" s="51"/>
      <c r="Y320" s="50"/>
      <c r="Z320" s="30"/>
      <c r="AA320" s="104"/>
      <c r="AB320" s="10"/>
      <c r="AC320" s="60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8"/>
      <c r="BC320" s="147"/>
      <c r="BD320" s="54"/>
      <c r="BE320" s="32"/>
    </row>
    <row r="321" spans="1:57" x14ac:dyDescent="0.3">
      <c r="A321" s="241" t="str">
        <f t="shared" si="6"/>
        <v/>
      </c>
      <c r="B321" s="323"/>
      <c r="C321" s="324"/>
      <c r="D321" s="325"/>
      <c r="E321" s="349"/>
      <c r="F321" s="347"/>
      <c r="G321" s="30"/>
      <c r="H321" s="30"/>
      <c r="I321" s="30"/>
      <c r="J321" s="30"/>
      <c r="K321" s="30"/>
      <c r="L321" s="30"/>
      <c r="M321" s="30"/>
      <c r="N321" s="30"/>
      <c r="O321" s="154"/>
      <c r="P321" s="154"/>
      <c r="Q321" s="50"/>
      <c r="R321" s="50"/>
      <c r="S321" s="50"/>
      <c r="T321" s="50"/>
      <c r="U321" s="50"/>
      <c r="V321" s="50"/>
      <c r="W321" s="50"/>
      <c r="X321" s="51"/>
      <c r="Y321" s="50"/>
      <c r="Z321" s="30"/>
      <c r="AA321" s="104"/>
      <c r="AB321" s="10"/>
      <c r="AC321" s="60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8"/>
      <c r="BC321" s="147"/>
      <c r="BD321" s="54"/>
      <c r="BE321" s="32"/>
    </row>
    <row r="322" spans="1:57" x14ac:dyDescent="0.3">
      <c r="A322" s="241" t="str">
        <f t="shared" si="6"/>
        <v/>
      </c>
      <c r="B322" s="323"/>
      <c r="C322" s="324"/>
      <c r="D322" s="325"/>
      <c r="E322" s="349"/>
      <c r="F322" s="347"/>
      <c r="G322" s="30"/>
      <c r="H322" s="30"/>
      <c r="I322" s="30"/>
      <c r="J322" s="30"/>
      <c r="K322" s="30"/>
      <c r="L322" s="30"/>
      <c r="M322" s="30"/>
      <c r="N322" s="30"/>
      <c r="O322" s="154"/>
      <c r="P322" s="154"/>
      <c r="Q322" s="50"/>
      <c r="R322" s="50"/>
      <c r="S322" s="50"/>
      <c r="T322" s="50"/>
      <c r="U322" s="50"/>
      <c r="V322" s="50"/>
      <c r="W322" s="50"/>
      <c r="X322" s="51"/>
      <c r="Y322" s="50"/>
      <c r="Z322" s="30"/>
      <c r="AA322" s="104"/>
      <c r="AB322" s="10"/>
      <c r="AC322" s="60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8"/>
      <c r="BC322" s="147"/>
      <c r="BD322" s="54"/>
      <c r="BE322" s="32"/>
    </row>
    <row r="323" spans="1:57" x14ac:dyDescent="0.3">
      <c r="A323" s="241" t="str">
        <f t="shared" si="6"/>
        <v/>
      </c>
      <c r="B323" s="323"/>
      <c r="C323" s="324"/>
      <c r="D323" s="325"/>
      <c r="E323" s="349"/>
      <c r="F323" s="347"/>
      <c r="G323" s="30"/>
      <c r="H323" s="30"/>
      <c r="I323" s="30"/>
      <c r="J323" s="30"/>
      <c r="K323" s="30"/>
      <c r="L323" s="30"/>
      <c r="M323" s="30"/>
      <c r="N323" s="30"/>
      <c r="O323" s="154"/>
      <c r="P323" s="154"/>
      <c r="Q323" s="50"/>
      <c r="R323" s="50"/>
      <c r="S323" s="50"/>
      <c r="T323" s="50"/>
      <c r="U323" s="50"/>
      <c r="V323" s="50"/>
      <c r="W323" s="50"/>
      <c r="X323" s="51"/>
      <c r="Y323" s="50"/>
      <c r="Z323" s="30"/>
      <c r="AA323" s="104"/>
      <c r="AB323" s="10"/>
      <c r="AC323" s="60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8"/>
      <c r="BC323" s="147"/>
      <c r="BD323" s="54"/>
      <c r="BE323" s="32"/>
    </row>
    <row r="324" spans="1:57" x14ac:dyDescent="0.3">
      <c r="A324" s="241" t="str">
        <f t="shared" si="6"/>
        <v/>
      </c>
      <c r="B324" s="323"/>
      <c r="C324" s="324"/>
      <c r="D324" s="325"/>
      <c r="E324" s="349"/>
      <c r="F324" s="347"/>
      <c r="G324" s="30"/>
      <c r="H324" s="30"/>
      <c r="I324" s="30"/>
      <c r="J324" s="30"/>
      <c r="K324" s="30"/>
      <c r="L324" s="30"/>
      <c r="M324" s="30"/>
      <c r="N324" s="30"/>
      <c r="O324" s="154"/>
      <c r="P324" s="154"/>
      <c r="Q324" s="50"/>
      <c r="R324" s="50"/>
      <c r="S324" s="50"/>
      <c r="T324" s="50"/>
      <c r="U324" s="50"/>
      <c r="V324" s="50"/>
      <c r="W324" s="50"/>
      <c r="X324" s="51"/>
      <c r="Y324" s="50"/>
      <c r="Z324" s="30"/>
      <c r="AA324" s="104"/>
      <c r="AB324" s="10"/>
      <c r="AC324" s="60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8"/>
      <c r="BC324" s="147"/>
      <c r="BD324" s="54"/>
      <c r="BE324" s="32"/>
    </row>
    <row r="325" spans="1:57" x14ac:dyDescent="0.3">
      <c r="A325" s="241" t="str">
        <f t="shared" si="6"/>
        <v/>
      </c>
      <c r="B325" s="323"/>
      <c r="C325" s="324"/>
      <c r="D325" s="325"/>
      <c r="E325" s="349"/>
      <c r="F325" s="347"/>
      <c r="G325" s="30"/>
      <c r="H325" s="30"/>
      <c r="I325" s="30"/>
      <c r="J325" s="30"/>
      <c r="K325" s="30"/>
      <c r="L325" s="30"/>
      <c r="M325" s="30"/>
      <c r="N325" s="30"/>
      <c r="O325" s="154"/>
      <c r="P325" s="154"/>
      <c r="Q325" s="50"/>
      <c r="R325" s="50"/>
      <c r="S325" s="50"/>
      <c r="T325" s="50"/>
      <c r="U325" s="50"/>
      <c r="V325" s="50"/>
      <c r="W325" s="50"/>
      <c r="X325" s="51"/>
      <c r="Y325" s="50"/>
      <c r="Z325" s="30"/>
      <c r="AA325" s="104"/>
      <c r="AB325" s="10"/>
      <c r="AC325" s="60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8"/>
      <c r="BC325" s="147"/>
      <c r="BD325" s="54"/>
      <c r="BE325" s="32"/>
    </row>
    <row r="326" spans="1:57" x14ac:dyDescent="0.3">
      <c r="A326" s="241" t="str">
        <f t="shared" si="6"/>
        <v/>
      </c>
      <c r="B326" s="323"/>
      <c r="C326" s="324"/>
      <c r="D326" s="325"/>
      <c r="E326" s="349"/>
      <c r="F326" s="347"/>
      <c r="G326" s="30"/>
      <c r="H326" s="30"/>
      <c r="I326" s="30"/>
      <c r="J326" s="30"/>
      <c r="K326" s="30"/>
      <c r="L326" s="30"/>
      <c r="M326" s="30"/>
      <c r="N326" s="30"/>
      <c r="O326" s="154"/>
      <c r="P326" s="154"/>
      <c r="Q326" s="50"/>
      <c r="R326" s="50"/>
      <c r="S326" s="50"/>
      <c r="T326" s="50"/>
      <c r="U326" s="50"/>
      <c r="V326" s="50"/>
      <c r="W326" s="50"/>
      <c r="X326" s="51"/>
      <c r="Y326" s="50"/>
      <c r="Z326" s="30"/>
      <c r="AA326" s="104"/>
      <c r="AB326" s="10"/>
      <c r="AC326" s="60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8"/>
      <c r="BC326" s="147"/>
      <c r="BD326" s="54"/>
      <c r="BE326" s="32"/>
    </row>
    <row r="327" spans="1:57" x14ac:dyDescent="0.3">
      <c r="A327" s="241" t="str">
        <f t="shared" si="6"/>
        <v/>
      </c>
      <c r="B327" s="323"/>
      <c r="C327" s="324"/>
      <c r="D327" s="325"/>
      <c r="E327" s="349"/>
      <c r="F327" s="347"/>
      <c r="G327" s="30"/>
      <c r="H327" s="30"/>
      <c r="I327" s="30"/>
      <c r="J327" s="30"/>
      <c r="K327" s="30"/>
      <c r="L327" s="30"/>
      <c r="M327" s="30"/>
      <c r="N327" s="30"/>
      <c r="O327" s="154"/>
      <c r="P327" s="154"/>
      <c r="Q327" s="50"/>
      <c r="R327" s="50"/>
      <c r="S327" s="50"/>
      <c r="T327" s="50"/>
      <c r="U327" s="50"/>
      <c r="V327" s="50"/>
      <c r="W327" s="50"/>
      <c r="X327" s="51"/>
      <c r="Y327" s="50"/>
      <c r="Z327" s="30"/>
      <c r="AA327" s="104"/>
      <c r="AB327" s="10"/>
      <c r="AC327" s="60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8"/>
      <c r="BC327" s="147"/>
      <c r="BD327" s="54"/>
      <c r="BE327" s="32"/>
    </row>
    <row r="328" spans="1:57" x14ac:dyDescent="0.3">
      <c r="A328" s="241" t="str">
        <f t="shared" si="6"/>
        <v/>
      </c>
      <c r="B328" s="323"/>
      <c r="C328" s="324"/>
      <c r="D328" s="325"/>
      <c r="E328" s="349"/>
      <c r="F328" s="347"/>
      <c r="G328" s="30"/>
      <c r="H328" s="30"/>
      <c r="I328" s="30"/>
      <c r="J328" s="30"/>
      <c r="K328" s="30"/>
      <c r="L328" s="30"/>
      <c r="M328" s="30"/>
      <c r="N328" s="30"/>
      <c r="O328" s="154"/>
      <c r="P328" s="154"/>
      <c r="Q328" s="50"/>
      <c r="R328" s="50"/>
      <c r="S328" s="50"/>
      <c r="T328" s="50"/>
      <c r="U328" s="50"/>
      <c r="V328" s="50"/>
      <c r="W328" s="50"/>
      <c r="X328" s="51"/>
      <c r="Y328" s="50"/>
      <c r="Z328" s="30"/>
      <c r="AA328" s="104"/>
      <c r="AB328" s="10"/>
      <c r="AC328" s="60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8"/>
      <c r="BC328" s="147"/>
      <c r="BD328" s="54"/>
      <c r="BE328" s="32"/>
    </row>
    <row r="329" spans="1:57" x14ac:dyDescent="0.3">
      <c r="A329" s="241" t="str">
        <f t="shared" si="6"/>
        <v/>
      </c>
      <c r="B329" s="323"/>
      <c r="C329" s="324"/>
      <c r="D329" s="325"/>
      <c r="E329" s="349"/>
      <c r="F329" s="347"/>
      <c r="G329" s="30"/>
      <c r="H329" s="30"/>
      <c r="I329" s="30"/>
      <c r="J329" s="30"/>
      <c r="K329" s="30"/>
      <c r="L329" s="30"/>
      <c r="M329" s="30"/>
      <c r="N329" s="30"/>
      <c r="O329" s="154"/>
      <c r="P329" s="154"/>
      <c r="Q329" s="50"/>
      <c r="R329" s="50"/>
      <c r="S329" s="50"/>
      <c r="T329" s="50"/>
      <c r="U329" s="50"/>
      <c r="V329" s="50"/>
      <c r="W329" s="50"/>
      <c r="X329" s="51"/>
      <c r="Y329" s="50"/>
      <c r="Z329" s="30"/>
      <c r="AA329" s="104"/>
      <c r="AB329" s="10"/>
      <c r="AC329" s="60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8"/>
      <c r="BC329" s="147"/>
      <c r="BD329" s="54"/>
      <c r="BE329" s="32"/>
    </row>
    <row r="330" spans="1:57" x14ac:dyDescent="0.3">
      <c r="A330" s="241" t="str">
        <f t="shared" si="6"/>
        <v/>
      </c>
      <c r="B330" s="323"/>
      <c r="C330" s="324"/>
      <c r="D330" s="325"/>
      <c r="E330" s="349"/>
      <c r="F330" s="347"/>
      <c r="G330" s="30"/>
      <c r="H330" s="30"/>
      <c r="I330" s="30"/>
      <c r="J330" s="30"/>
      <c r="K330" s="30"/>
      <c r="L330" s="30"/>
      <c r="M330" s="30"/>
      <c r="N330" s="30"/>
      <c r="O330" s="154"/>
      <c r="P330" s="154"/>
      <c r="Q330" s="50"/>
      <c r="R330" s="50"/>
      <c r="S330" s="50"/>
      <c r="T330" s="50"/>
      <c r="U330" s="50"/>
      <c r="V330" s="50"/>
      <c r="W330" s="50"/>
      <c r="X330" s="51"/>
      <c r="Y330" s="50"/>
      <c r="Z330" s="30"/>
      <c r="AA330" s="104"/>
      <c r="AB330" s="10"/>
      <c r="AC330" s="60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8"/>
      <c r="BC330" s="147"/>
      <c r="BD330" s="54"/>
      <c r="BE330" s="32"/>
    </row>
    <row r="331" spans="1:57" x14ac:dyDescent="0.3">
      <c r="A331" s="241" t="str">
        <f t="shared" si="6"/>
        <v/>
      </c>
      <c r="B331" s="323"/>
      <c r="C331" s="324"/>
      <c r="D331" s="325"/>
      <c r="E331" s="349"/>
      <c r="F331" s="347"/>
      <c r="G331" s="30"/>
      <c r="H331" s="30"/>
      <c r="I331" s="30"/>
      <c r="J331" s="30"/>
      <c r="K331" s="30"/>
      <c r="L331" s="30"/>
      <c r="M331" s="30"/>
      <c r="N331" s="30"/>
      <c r="O331" s="154"/>
      <c r="P331" s="154"/>
      <c r="Q331" s="50"/>
      <c r="R331" s="50"/>
      <c r="S331" s="50"/>
      <c r="T331" s="50"/>
      <c r="U331" s="50"/>
      <c r="V331" s="50"/>
      <c r="W331" s="50"/>
      <c r="X331" s="51"/>
      <c r="Y331" s="50"/>
      <c r="Z331" s="30"/>
      <c r="AA331" s="104"/>
      <c r="AB331" s="10"/>
      <c r="AC331" s="60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8"/>
      <c r="BC331" s="147"/>
      <c r="BD331" s="54"/>
      <c r="BE331" s="32"/>
    </row>
    <row r="332" spans="1:57" x14ac:dyDescent="0.3">
      <c r="A332" s="241" t="str">
        <f t="shared" si="6"/>
        <v/>
      </c>
      <c r="B332" s="323"/>
      <c r="C332" s="324"/>
      <c r="D332" s="325"/>
      <c r="E332" s="349"/>
      <c r="F332" s="347"/>
      <c r="G332" s="30"/>
      <c r="H332" s="30"/>
      <c r="I332" s="30"/>
      <c r="J332" s="30"/>
      <c r="K332" s="30"/>
      <c r="L332" s="30"/>
      <c r="M332" s="30"/>
      <c r="N332" s="30"/>
      <c r="O332" s="154"/>
      <c r="P332" s="154"/>
      <c r="Q332" s="50"/>
      <c r="R332" s="50"/>
      <c r="S332" s="50"/>
      <c r="T332" s="50"/>
      <c r="U332" s="50"/>
      <c r="V332" s="50"/>
      <c r="W332" s="50"/>
      <c r="X332" s="51"/>
      <c r="Y332" s="50"/>
      <c r="Z332" s="30"/>
      <c r="AA332" s="104"/>
      <c r="AB332" s="10"/>
      <c r="AC332" s="60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8"/>
      <c r="BC332" s="147"/>
      <c r="BD332" s="54"/>
      <c r="BE332" s="32"/>
    </row>
    <row r="333" spans="1:57" x14ac:dyDescent="0.3">
      <c r="A333" s="241" t="str">
        <f t="shared" si="6"/>
        <v/>
      </c>
      <c r="B333" s="323"/>
      <c r="C333" s="324"/>
      <c r="D333" s="325"/>
      <c r="E333" s="349"/>
      <c r="F333" s="347"/>
      <c r="G333" s="30"/>
      <c r="H333" s="30"/>
      <c r="I333" s="30"/>
      <c r="J333" s="30"/>
      <c r="K333" s="30"/>
      <c r="L333" s="30"/>
      <c r="M333" s="30"/>
      <c r="N333" s="30"/>
      <c r="O333" s="154"/>
      <c r="P333" s="154"/>
      <c r="Q333" s="50"/>
      <c r="R333" s="50"/>
      <c r="S333" s="50"/>
      <c r="T333" s="50"/>
      <c r="U333" s="50"/>
      <c r="V333" s="50"/>
      <c r="W333" s="50"/>
      <c r="X333" s="51"/>
      <c r="Y333" s="50"/>
      <c r="Z333" s="30"/>
      <c r="AA333" s="104"/>
      <c r="AB333" s="10"/>
      <c r="AC333" s="60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8"/>
      <c r="BC333" s="147"/>
      <c r="BD333" s="54"/>
      <c r="BE333" s="32"/>
    </row>
    <row r="334" spans="1:57" x14ac:dyDescent="0.3">
      <c r="A334" s="241" t="str">
        <f t="shared" si="6"/>
        <v/>
      </c>
      <c r="B334" s="323"/>
      <c r="C334" s="324"/>
      <c r="D334" s="325"/>
      <c r="E334" s="349"/>
      <c r="F334" s="347"/>
      <c r="G334" s="30"/>
      <c r="H334" s="30"/>
      <c r="I334" s="30"/>
      <c r="J334" s="30"/>
      <c r="K334" s="30"/>
      <c r="L334" s="30"/>
      <c r="M334" s="30"/>
      <c r="N334" s="30"/>
      <c r="O334" s="154"/>
      <c r="P334" s="154"/>
      <c r="Q334" s="50"/>
      <c r="R334" s="50"/>
      <c r="S334" s="50"/>
      <c r="T334" s="50"/>
      <c r="U334" s="50"/>
      <c r="V334" s="50"/>
      <c r="W334" s="50"/>
      <c r="X334" s="51"/>
      <c r="Y334" s="50"/>
      <c r="Z334" s="30"/>
      <c r="AA334" s="104"/>
      <c r="AB334" s="10"/>
      <c r="AC334" s="60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8"/>
      <c r="BC334" s="147"/>
      <c r="BD334" s="54"/>
      <c r="BE334" s="32"/>
    </row>
    <row r="335" spans="1:57" x14ac:dyDescent="0.3">
      <c r="A335" s="241" t="str">
        <f t="shared" si="6"/>
        <v/>
      </c>
      <c r="B335" s="323"/>
      <c r="C335" s="324"/>
      <c r="D335" s="325"/>
      <c r="E335" s="349"/>
      <c r="F335" s="347"/>
      <c r="G335" s="30"/>
      <c r="H335" s="30"/>
      <c r="I335" s="30"/>
      <c r="J335" s="30"/>
      <c r="K335" s="30"/>
      <c r="L335" s="30"/>
      <c r="M335" s="30"/>
      <c r="N335" s="30"/>
      <c r="O335" s="154"/>
      <c r="P335" s="154"/>
      <c r="Q335" s="50"/>
      <c r="R335" s="50"/>
      <c r="S335" s="50"/>
      <c r="T335" s="50"/>
      <c r="U335" s="50"/>
      <c r="V335" s="50"/>
      <c r="W335" s="50"/>
      <c r="X335" s="51"/>
      <c r="Y335" s="50"/>
      <c r="Z335" s="30"/>
      <c r="AA335" s="104"/>
      <c r="AB335" s="10"/>
      <c r="AC335" s="60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8"/>
      <c r="BC335" s="147"/>
      <c r="BD335" s="54"/>
      <c r="BE335" s="32"/>
    </row>
    <row r="336" spans="1:57" x14ac:dyDescent="0.3">
      <c r="A336" s="241" t="str">
        <f t="shared" si="6"/>
        <v/>
      </c>
      <c r="B336" s="323"/>
      <c r="C336" s="324"/>
      <c r="D336" s="325"/>
      <c r="E336" s="349"/>
      <c r="F336" s="347"/>
      <c r="G336" s="30"/>
      <c r="H336" s="30"/>
      <c r="I336" s="30"/>
      <c r="J336" s="30"/>
      <c r="K336" s="30"/>
      <c r="L336" s="30"/>
      <c r="M336" s="30"/>
      <c r="N336" s="30"/>
      <c r="O336" s="154"/>
      <c r="P336" s="154"/>
      <c r="Q336" s="50"/>
      <c r="R336" s="50"/>
      <c r="S336" s="50"/>
      <c r="T336" s="50"/>
      <c r="U336" s="50"/>
      <c r="V336" s="50"/>
      <c r="W336" s="50"/>
      <c r="X336" s="51"/>
      <c r="Y336" s="50"/>
      <c r="Z336" s="30"/>
      <c r="AA336" s="104"/>
      <c r="AB336" s="10"/>
      <c r="AC336" s="60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8"/>
      <c r="BC336" s="147"/>
      <c r="BD336" s="54"/>
      <c r="BE336" s="32"/>
    </row>
    <row r="337" spans="1:57" x14ac:dyDescent="0.3">
      <c r="A337" s="241" t="str">
        <f t="shared" si="6"/>
        <v/>
      </c>
      <c r="B337" s="323"/>
      <c r="C337" s="324"/>
      <c r="D337" s="325"/>
      <c r="E337" s="349"/>
      <c r="F337" s="347"/>
      <c r="G337" s="30"/>
      <c r="H337" s="30"/>
      <c r="I337" s="30"/>
      <c r="J337" s="30"/>
      <c r="K337" s="30"/>
      <c r="L337" s="30"/>
      <c r="M337" s="30"/>
      <c r="N337" s="30"/>
      <c r="O337" s="154"/>
      <c r="P337" s="154"/>
      <c r="Q337" s="50"/>
      <c r="R337" s="50"/>
      <c r="S337" s="50"/>
      <c r="T337" s="50"/>
      <c r="U337" s="50"/>
      <c r="V337" s="50"/>
      <c r="W337" s="50"/>
      <c r="X337" s="51"/>
      <c r="Y337" s="50"/>
      <c r="Z337" s="30"/>
      <c r="AA337" s="104"/>
      <c r="AB337" s="10"/>
      <c r="AC337" s="60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8"/>
      <c r="BC337" s="147"/>
      <c r="BD337" s="54"/>
      <c r="BE337" s="32"/>
    </row>
    <row r="338" spans="1:57" x14ac:dyDescent="0.3">
      <c r="A338" s="241" t="str">
        <f t="shared" si="6"/>
        <v/>
      </c>
      <c r="B338" s="323"/>
      <c r="C338" s="324"/>
      <c r="D338" s="325"/>
      <c r="E338" s="349"/>
      <c r="F338" s="347"/>
      <c r="G338" s="30"/>
      <c r="H338" s="30"/>
      <c r="I338" s="30"/>
      <c r="J338" s="30"/>
      <c r="K338" s="30"/>
      <c r="L338" s="30"/>
      <c r="M338" s="30"/>
      <c r="N338" s="30"/>
      <c r="O338" s="154"/>
      <c r="P338" s="154"/>
      <c r="Q338" s="50"/>
      <c r="R338" s="50"/>
      <c r="S338" s="50"/>
      <c r="T338" s="50"/>
      <c r="U338" s="50"/>
      <c r="V338" s="50"/>
      <c r="W338" s="50"/>
      <c r="X338" s="51"/>
      <c r="Y338" s="50"/>
      <c r="Z338" s="30"/>
      <c r="AA338" s="104"/>
      <c r="AB338" s="10"/>
      <c r="AC338" s="60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8"/>
      <c r="BC338" s="147"/>
      <c r="BD338" s="54"/>
      <c r="BE338" s="32"/>
    </row>
    <row r="339" spans="1:57" x14ac:dyDescent="0.3">
      <c r="A339" s="241" t="str">
        <f t="shared" si="6"/>
        <v/>
      </c>
      <c r="B339" s="323"/>
      <c r="C339" s="324"/>
      <c r="D339" s="325"/>
      <c r="E339" s="349"/>
      <c r="F339" s="347"/>
      <c r="G339" s="30"/>
      <c r="H339" s="30"/>
      <c r="I339" s="30"/>
      <c r="J339" s="30"/>
      <c r="K339" s="30"/>
      <c r="L339" s="30"/>
      <c r="M339" s="30"/>
      <c r="N339" s="30"/>
      <c r="O339" s="154"/>
      <c r="P339" s="154"/>
      <c r="Q339" s="50"/>
      <c r="R339" s="50"/>
      <c r="S339" s="50"/>
      <c r="T339" s="50"/>
      <c r="U339" s="50"/>
      <c r="V339" s="50"/>
      <c r="W339" s="50"/>
      <c r="X339" s="51"/>
      <c r="Y339" s="50"/>
      <c r="Z339" s="30"/>
      <c r="AA339" s="104"/>
      <c r="AB339" s="10"/>
      <c r="AC339" s="60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8"/>
      <c r="BC339" s="147"/>
      <c r="BD339" s="54"/>
      <c r="BE339" s="32"/>
    </row>
    <row r="340" spans="1:57" x14ac:dyDescent="0.3">
      <c r="A340" s="241" t="str">
        <f t="shared" si="6"/>
        <v/>
      </c>
      <c r="B340" s="323"/>
      <c r="C340" s="324"/>
      <c r="D340" s="325"/>
      <c r="E340" s="349"/>
      <c r="F340" s="347"/>
      <c r="G340" s="30"/>
      <c r="H340" s="30"/>
      <c r="I340" s="30"/>
      <c r="J340" s="30"/>
      <c r="K340" s="30"/>
      <c r="L340" s="30"/>
      <c r="M340" s="30"/>
      <c r="N340" s="30"/>
      <c r="O340" s="154"/>
      <c r="P340" s="154"/>
      <c r="Q340" s="50"/>
      <c r="R340" s="50"/>
      <c r="S340" s="50"/>
      <c r="T340" s="50"/>
      <c r="U340" s="50"/>
      <c r="V340" s="50"/>
      <c r="W340" s="50"/>
      <c r="X340" s="51"/>
      <c r="Y340" s="50"/>
      <c r="Z340" s="30"/>
      <c r="AA340" s="104"/>
      <c r="AB340" s="10"/>
      <c r="AC340" s="60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8"/>
      <c r="BC340" s="147"/>
      <c r="BD340" s="54"/>
      <c r="BE340" s="32"/>
    </row>
    <row r="341" spans="1:57" x14ac:dyDescent="0.3">
      <c r="A341" s="241" t="str">
        <f t="shared" ref="A341:A404" si="7">CONCATENATE(B341,C341)</f>
        <v/>
      </c>
      <c r="B341" s="323"/>
      <c r="C341" s="324"/>
      <c r="D341" s="325"/>
      <c r="E341" s="349"/>
      <c r="F341" s="347"/>
      <c r="G341" s="30"/>
      <c r="H341" s="30"/>
      <c r="I341" s="30"/>
      <c r="J341" s="30"/>
      <c r="K341" s="30"/>
      <c r="L341" s="30"/>
      <c r="M341" s="30"/>
      <c r="N341" s="30"/>
      <c r="O341" s="154"/>
      <c r="P341" s="154"/>
      <c r="Q341" s="50"/>
      <c r="R341" s="50"/>
      <c r="S341" s="50"/>
      <c r="T341" s="50"/>
      <c r="U341" s="50"/>
      <c r="V341" s="50"/>
      <c r="W341" s="50"/>
      <c r="X341" s="51"/>
      <c r="Y341" s="50"/>
      <c r="Z341" s="30"/>
      <c r="AA341" s="104"/>
      <c r="AB341" s="10"/>
      <c r="AC341" s="60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8"/>
      <c r="BC341" s="147"/>
      <c r="BD341" s="54"/>
      <c r="BE341" s="32"/>
    </row>
    <row r="342" spans="1:57" x14ac:dyDescent="0.3">
      <c r="A342" s="241" t="str">
        <f t="shared" si="7"/>
        <v/>
      </c>
      <c r="B342" s="323"/>
      <c r="C342" s="324"/>
      <c r="D342" s="325"/>
      <c r="E342" s="349"/>
      <c r="F342" s="347"/>
      <c r="G342" s="30"/>
      <c r="H342" s="30"/>
      <c r="I342" s="30"/>
      <c r="J342" s="30"/>
      <c r="K342" s="30"/>
      <c r="L342" s="30"/>
      <c r="M342" s="30"/>
      <c r="N342" s="30"/>
      <c r="O342" s="154"/>
      <c r="P342" s="154"/>
      <c r="Q342" s="50"/>
      <c r="R342" s="50"/>
      <c r="S342" s="50"/>
      <c r="T342" s="50"/>
      <c r="U342" s="50"/>
      <c r="V342" s="50"/>
      <c r="W342" s="50"/>
      <c r="X342" s="51"/>
      <c r="Y342" s="50"/>
      <c r="Z342" s="30"/>
      <c r="AA342" s="104"/>
      <c r="AB342" s="10"/>
      <c r="AC342" s="60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8"/>
      <c r="BC342" s="147"/>
      <c r="BD342" s="54"/>
      <c r="BE342" s="32"/>
    </row>
    <row r="343" spans="1:57" x14ac:dyDescent="0.3">
      <c r="A343" s="241" t="str">
        <f t="shared" si="7"/>
        <v/>
      </c>
      <c r="B343" s="323"/>
      <c r="C343" s="324"/>
      <c r="D343" s="325"/>
      <c r="E343" s="349"/>
      <c r="F343" s="347"/>
      <c r="G343" s="30"/>
      <c r="H343" s="30"/>
      <c r="I343" s="30"/>
      <c r="J343" s="30"/>
      <c r="K343" s="30"/>
      <c r="L343" s="30"/>
      <c r="M343" s="30"/>
      <c r="N343" s="30"/>
      <c r="O343" s="154"/>
      <c r="P343" s="154"/>
      <c r="Q343" s="50"/>
      <c r="R343" s="50"/>
      <c r="S343" s="50"/>
      <c r="T343" s="50"/>
      <c r="U343" s="50"/>
      <c r="V343" s="50"/>
      <c r="W343" s="50"/>
      <c r="X343" s="51"/>
      <c r="Y343" s="50"/>
      <c r="Z343" s="30"/>
      <c r="AA343" s="104"/>
      <c r="AB343" s="10"/>
      <c r="AC343" s="60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8"/>
      <c r="BC343" s="147"/>
      <c r="BD343" s="54"/>
      <c r="BE343" s="32"/>
    </row>
    <row r="344" spans="1:57" x14ac:dyDescent="0.3">
      <c r="A344" s="241" t="str">
        <f t="shared" si="7"/>
        <v/>
      </c>
      <c r="B344" s="323"/>
      <c r="C344" s="324"/>
      <c r="D344" s="325"/>
      <c r="E344" s="349"/>
      <c r="F344" s="347"/>
      <c r="G344" s="30"/>
      <c r="H344" s="30"/>
      <c r="I344" s="30"/>
      <c r="J344" s="30"/>
      <c r="K344" s="30"/>
      <c r="L344" s="30"/>
      <c r="M344" s="30"/>
      <c r="N344" s="30"/>
      <c r="O344" s="154"/>
      <c r="P344" s="154"/>
      <c r="Q344" s="50"/>
      <c r="R344" s="50"/>
      <c r="S344" s="50"/>
      <c r="T344" s="50"/>
      <c r="U344" s="50"/>
      <c r="V344" s="50"/>
      <c r="W344" s="50"/>
      <c r="X344" s="51"/>
      <c r="Y344" s="50"/>
      <c r="Z344" s="30"/>
      <c r="AA344" s="104"/>
      <c r="AB344" s="10"/>
      <c r="AC344" s="60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8"/>
      <c r="BC344" s="147"/>
      <c r="BD344" s="54"/>
      <c r="BE344" s="32"/>
    </row>
    <row r="345" spans="1:57" x14ac:dyDescent="0.3">
      <c r="A345" s="241" t="str">
        <f t="shared" si="7"/>
        <v/>
      </c>
      <c r="B345" s="323"/>
      <c r="C345" s="324"/>
      <c r="D345" s="325"/>
      <c r="E345" s="349"/>
      <c r="F345" s="347"/>
      <c r="G345" s="30"/>
      <c r="H345" s="30"/>
      <c r="I345" s="30"/>
      <c r="J345" s="30"/>
      <c r="K345" s="30"/>
      <c r="L345" s="30"/>
      <c r="M345" s="30"/>
      <c r="N345" s="30"/>
      <c r="O345" s="154"/>
      <c r="P345" s="154"/>
      <c r="Q345" s="50"/>
      <c r="R345" s="50"/>
      <c r="S345" s="50"/>
      <c r="T345" s="50"/>
      <c r="U345" s="50"/>
      <c r="V345" s="50"/>
      <c r="W345" s="50"/>
      <c r="X345" s="51"/>
      <c r="Y345" s="50"/>
      <c r="Z345" s="30"/>
      <c r="AA345" s="104"/>
      <c r="AB345" s="10"/>
      <c r="AC345" s="60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8"/>
      <c r="BC345" s="147"/>
      <c r="BD345" s="54"/>
      <c r="BE345" s="32"/>
    </row>
    <row r="346" spans="1:57" x14ac:dyDescent="0.3">
      <c r="A346" s="241" t="str">
        <f t="shared" si="7"/>
        <v/>
      </c>
      <c r="B346" s="323"/>
      <c r="C346" s="324"/>
      <c r="D346" s="325"/>
      <c r="E346" s="349"/>
      <c r="F346" s="347"/>
      <c r="G346" s="30"/>
      <c r="H346" s="30"/>
      <c r="I346" s="30"/>
      <c r="J346" s="30"/>
      <c r="K346" s="30"/>
      <c r="L346" s="30"/>
      <c r="M346" s="30"/>
      <c r="N346" s="30"/>
      <c r="O346" s="154"/>
      <c r="P346" s="154"/>
      <c r="Q346" s="50"/>
      <c r="R346" s="50"/>
      <c r="S346" s="50"/>
      <c r="T346" s="50"/>
      <c r="U346" s="50"/>
      <c r="V346" s="50"/>
      <c r="W346" s="50"/>
      <c r="X346" s="51"/>
      <c r="Y346" s="50"/>
      <c r="Z346" s="30"/>
      <c r="AA346" s="104"/>
      <c r="AB346" s="10"/>
      <c r="AC346" s="60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8"/>
      <c r="BC346" s="147"/>
      <c r="BD346" s="54"/>
      <c r="BE346" s="32"/>
    </row>
    <row r="347" spans="1:57" x14ac:dyDescent="0.3">
      <c r="A347" s="241" t="str">
        <f t="shared" si="7"/>
        <v/>
      </c>
      <c r="B347" s="323"/>
      <c r="C347" s="324"/>
      <c r="D347" s="325"/>
      <c r="E347" s="349"/>
      <c r="F347" s="347"/>
      <c r="G347" s="30"/>
      <c r="H347" s="30"/>
      <c r="I347" s="30"/>
      <c r="J347" s="30"/>
      <c r="K347" s="30"/>
      <c r="L347" s="30"/>
      <c r="M347" s="30"/>
      <c r="N347" s="30"/>
      <c r="O347" s="154"/>
      <c r="P347" s="154"/>
      <c r="Q347" s="50"/>
      <c r="R347" s="50"/>
      <c r="S347" s="50"/>
      <c r="T347" s="50"/>
      <c r="U347" s="50"/>
      <c r="V347" s="50"/>
      <c r="W347" s="50"/>
      <c r="X347" s="51"/>
      <c r="Y347" s="50"/>
      <c r="Z347" s="30"/>
      <c r="AA347" s="104"/>
      <c r="AB347" s="10"/>
      <c r="AC347" s="60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8"/>
      <c r="BC347" s="147"/>
      <c r="BD347" s="54"/>
      <c r="BE347" s="32"/>
    </row>
    <row r="348" spans="1:57" x14ac:dyDescent="0.3">
      <c r="A348" s="241" t="str">
        <f t="shared" si="7"/>
        <v/>
      </c>
      <c r="B348" s="323"/>
      <c r="C348" s="324"/>
      <c r="D348" s="325"/>
      <c r="E348" s="349"/>
      <c r="F348" s="347"/>
      <c r="G348" s="30"/>
      <c r="H348" s="30"/>
      <c r="I348" s="30"/>
      <c r="J348" s="30"/>
      <c r="K348" s="30"/>
      <c r="L348" s="30"/>
      <c r="M348" s="30"/>
      <c r="N348" s="30"/>
      <c r="O348" s="154"/>
      <c r="P348" s="154"/>
      <c r="Q348" s="50"/>
      <c r="R348" s="50"/>
      <c r="S348" s="50"/>
      <c r="T348" s="50"/>
      <c r="U348" s="50"/>
      <c r="V348" s="50"/>
      <c r="W348" s="50"/>
      <c r="X348" s="51"/>
      <c r="Y348" s="50"/>
      <c r="Z348" s="30"/>
      <c r="AA348" s="104"/>
      <c r="AB348" s="10"/>
      <c r="AC348" s="60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8"/>
      <c r="BC348" s="147"/>
      <c r="BD348" s="54"/>
      <c r="BE348" s="32"/>
    </row>
    <row r="349" spans="1:57" x14ac:dyDescent="0.3">
      <c r="A349" s="241" t="str">
        <f t="shared" si="7"/>
        <v/>
      </c>
      <c r="B349" s="323"/>
      <c r="C349" s="324"/>
      <c r="D349" s="325"/>
      <c r="E349" s="349"/>
      <c r="F349" s="347"/>
      <c r="G349" s="30"/>
      <c r="H349" s="30"/>
      <c r="I349" s="30"/>
      <c r="J349" s="30"/>
      <c r="K349" s="30"/>
      <c r="L349" s="30"/>
      <c r="M349" s="30"/>
      <c r="N349" s="30"/>
      <c r="O349" s="154"/>
      <c r="P349" s="154"/>
      <c r="Q349" s="50"/>
      <c r="R349" s="50"/>
      <c r="S349" s="50"/>
      <c r="T349" s="50"/>
      <c r="U349" s="50"/>
      <c r="V349" s="50"/>
      <c r="W349" s="50"/>
      <c r="X349" s="51"/>
      <c r="Y349" s="50"/>
      <c r="Z349" s="30"/>
      <c r="AA349" s="104"/>
      <c r="AB349" s="10"/>
      <c r="AC349" s="60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8"/>
      <c r="BC349" s="147"/>
      <c r="BD349" s="54"/>
      <c r="BE349" s="32"/>
    </row>
    <row r="350" spans="1:57" x14ac:dyDescent="0.3">
      <c r="A350" s="241" t="str">
        <f t="shared" si="7"/>
        <v/>
      </c>
      <c r="B350" s="323"/>
      <c r="C350" s="324"/>
      <c r="D350" s="325"/>
      <c r="E350" s="349"/>
      <c r="F350" s="347"/>
      <c r="G350" s="30"/>
      <c r="H350" s="30"/>
      <c r="I350" s="30"/>
      <c r="J350" s="30"/>
      <c r="K350" s="30"/>
      <c r="L350" s="30"/>
      <c r="M350" s="30"/>
      <c r="N350" s="30"/>
      <c r="O350" s="154"/>
      <c r="P350" s="154"/>
      <c r="Q350" s="50"/>
      <c r="R350" s="50"/>
      <c r="S350" s="50"/>
      <c r="T350" s="50"/>
      <c r="U350" s="50"/>
      <c r="V350" s="50"/>
      <c r="W350" s="50"/>
      <c r="X350" s="51"/>
      <c r="Y350" s="50"/>
      <c r="Z350" s="30"/>
      <c r="AA350" s="104"/>
      <c r="AB350" s="10"/>
      <c r="AC350" s="60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8"/>
      <c r="BC350" s="147"/>
      <c r="BD350" s="54"/>
      <c r="BE350" s="32"/>
    </row>
    <row r="351" spans="1:57" x14ac:dyDescent="0.3">
      <c r="A351" s="241" t="str">
        <f t="shared" si="7"/>
        <v/>
      </c>
      <c r="B351" s="323"/>
      <c r="C351" s="324"/>
      <c r="D351" s="325"/>
      <c r="E351" s="349"/>
      <c r="F351" s="347"/>
      <c r="G351" s="30"/>
      <c r="H351" s="30"/>
      <c r="I351" s="30"/>
      <c r="J351" s="30"/>
      <c r="K351" s="30"/>
      <c r="L351" s="30"/>
      <c r="M351" s="30"/>
      <c r="N351" s="30"/>
      <c r="O351" s="154"/>
      <c r="P351" s="154"/>
      <c r="Q351" s="50"/>
      <c r="R351" s="50"/>
      <c r="S351" s="50"/>
      <c r="T351" s="50"/>
      <c r="U351" s="50"/>
      <c r="V351" s="50"/>
      <c r="W351" s="50"/>
      <c r="X351" s="51"/>
      <c r="Y351" s="50"/>
      <c r="Z351" s="30"/>
      <c r="AA351" s="104"/>
      <c r="AB351" s="10"/>
      <c r="AC351" s="60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8"/>
      <c r="BC351" s="147"/>
      <c r="BD351" s="54"/>
      <c r="BE351" s="32"/>
    </row>
    <row r="352" spans="1:57" x14ac:dyDescent="0.3">
      <c r="A352" s="241" t="str">
        <f t="shared" si="7"/>
        <v/>
      </c>
      <c r="B352" s="323"/>
      <c r="C352" s="324"/>
      <c r="D352" s="325"/>
      <c r="E352" s="349"/>
      <c r="F352" s="347"/>
      <c r="G352" s="30"/>
      <c r="H352" s="30"/>
      <c r="I352" s="30"/>
      <c r="J352" s="30"/>
      <c r="K352" s="30"/>
      <c r="L352" s="30"/>
      <c r="M352" s="30"/>
      <c r="N352" s="30"/>
      <c r="O352" s="154"/>
      <c r="P352" s="154"/>
      <c r="Q352" s="50"/>
      <c r="R352" s="50"/>
      <c r="S352" s="50"/>
      <c r="T352" s="50"/>
      <c r="U352" s="50"/>
      <c r="V352" s="50"/>
      <c r="W352" s="50"/>
      <c r="X352" s="51"/>
      <c r="Y352" s="50"/>
      <c r="Z352" s="30"/>
      <c r="AA352" s="104"/>
      <c r="AB352" s="10"/>
      <c r="AC352" s="60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8"/>
      <c r="BC352" s="147"/>
      <c r="BD352" s="54"/>
      <c r="BE352" s="32"/>
    </row>
    <row r="353" spans="1:57" x14ac:dyDescent="0.3">
      <c r="A353" s="241" t="str">
        <f t="shared" si="7"/>
        <v/>
      </c>
      <c r="B353" s="323"/>
      <c r="C353" s="324"/>
      <c r="D353" s="325"/>
      <c r="E353" s="349"/>
      <c r="F353" s="347"/>
      <c r="G353" s="30"/>
      <c r="H353" s="30"/>
      <c r="I353" s="30"/>
      <c r="J353" s="30"/>
      <c r="K353" s="30"/>
      <c r="L353" s="30"/>
      <c r="M353" s="30"/>
      <c r="N353" s="30"/>
      <c r="O353" s="154"/>
      <c r="P353" s="154"/>
      <c r="Q353" s="50"/>
      <c r="R353" s="50"/>
      <c r="S353" s="50"/>
      <c r="T353" s="50"/>
      <c r="U353" s="50"/>
      <c r="V353" s="50"/>
      <c r="W353" s="50"/>
      <c r="X353" s="51"/>
      <c r="Y353" s="50"/>
      <c r="Z353" s="30"/>
      <c r="AA353" s="104"/>
      <c r="AB353" s="10"/>
      <c r="AC353" s="60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8"/>
      <c r="BC353" s="147"/>
      <c r="BD353" s="54"/>
      <c r="BE353" s="32"/>
    </row>
    <row r="354" spans="1:57" x14ac:dyDescent="0.3">
      <c r="A354" s="241" t="str">
        <f t="shared" si="7"/>
        <v/>
      </c>
      <c r="B354" s="323"/>
      <c r="C354" s="324"/>
      <c r="D354" s="325"/>
      <c r="E354" s="349"/>
      <c r="F354" s="347"/>
      <c r="G354" s="30"/>
      <c r="H354" s="30"/>
      <c r="I354" s="30"/>
      <c r="J354" s="30"/>
      <c r="K354" s="30"/>
      <c r="L354" s="30"/>
      <c r="M354" s="30"/>
      <c r="N354" s="30"/>
      <c r="O354" s="154"/>
      <c r="P354" s="154"/>
      <c r="Q354" s="50"/>
      <c r="R354" s="50"/>
      <c r="S354" s="50"/>
      <c r="T354" s="50"/>
      <c r="U354" s="50"/>
      <c r="V354" s="50"/>
      <c r="W354" s="50"/>
      <c r="X354" s="51"/>
      <c r="Y354" s="50"/>
      <c r="Z354" s="30"/>
      <c r="AA354" s="104"/>
      <c r="AB354" s="10"/>
      <c r="AC354" s="60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8"/>
      <c r="BC354" s="147"/>
      <c r="BD354" s="54"/>
      <c r="BE354" s="32"/>
    </row>
    <row r="355" spans="1:57" x14ac:dyDescent="0.3">
      <c r="A355" s="241" t="str">
        <f t="shared" si="7"/>
        <v/>
      </c>
      <c r="B355" s="323"/>
      <c r="C355" s="324"/>
      <c r="D355" s="325"/>
      <c r="E355" s="349"/>
      <c r="F355" s="347"/>
      <c r="G355" s="30"/>
      <c r="H355" s="30"/>
      <c r="I355" s="30"/>
      <c r="J355" s="30"/>
      <c r="K355" s="30"/>
      <c r="L355" s="30"/>
      <c r="M355" s="30"/>
      <c r="N355" s="30"/>
      <c r="O355" s="154"/>
      <c r="P355" s="154"/>
      <c r="Q355" s="50"/>
      <c r="R355" s="50"/>
      <c r="S355" s="50"/>
      <c r="T355" s="50"/>
      <c r="U355" s="50"/>
      <c r="V355" s="50"/>
      <c r="W355" s="50"/>
      <c r="X355" s="51"/>
      <c r="Y355" s="50"/>
      <c r="Z355" s="30"/>
      <c r="AA355" s="104"/>
      <c r="AB355" s="10"/>
      <c r="AC355" s="60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8"/>
      <c r="BC355" s="147"/>
      <c r="BD355" s="54"/>
      <c r="BE355" s="32"/>
    </row>
    <row r="356" spans="1:57" x14ac:dyDescent="0.3">
      <c r="A356" s="241" t="str">
        <f t="shared" si="7"/>
        <v/>
      </c>
      <c r="B356" s="323"/>
      <c r="C356" s="324"/>
      <c r="D356" s="325"/>
      <c r="E356" s="349"/>
      <c r="F356" s="347"/>
      <c r="G356" s="30"/>
      <c r="H356" s="30"/>
      <c r="I356" s="30"/>
      <c r="J356" s="30"/>
      <c r="K356" s="30"/>
      <c r="L356" s="30"/>
      <c r="M356" s="30"/>
      <c r="N356" s="30"/>
      <c r="O356" s="154"/>
      <c r="P356" s="154"/>
      <c r="Q356" s="50"/>
      <c r="R356" s="50"/>
      <c r="S356" s="50"/>
      <c r="T356" s="50"/>
      <c r="U356" s="50"/>
      <c r="V356" s="50"/>
      <c r="W356" s="50"/>
      <c r="X356" s="51"/>
      <c r="Y356" s="50"/>
      <c r="Z356" s="30"/>
      <c r="AA356" s="104"/>
      <c r="AB356" s="10"/>
      <c r="AC356" s="60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8"/>
      <c r="BC356" s="147"/>
      <c r="BD356" s="54"/>
      <c r="BE356" s="32"/>
    </row>
    <row r="357" spans="1:57" x14ac:dyDescent="0.3">
      <c r="A357" s="241" t="str">
        <f t="shared" si="7"/>
        <v/>
      </c>
      <c r="B357" s="323"/>
      <c r="C357" s="324"/>
      <c r="D357" s="325"/>
      <c r="E357" s="349"/>
      <c r="F357" s="347"/>
      <c r="G357" s="30"/>
      <c r="H357" s="30"/>
      <c r="I357" s="30"/>
      <c r="J357" s="30"/>
      <c r="K357" s="30"/>
      <c r="L357" s="30"/>
      <c r="M357" s="30"/>
      <c r="N357" s="30"/>
      <c r="O357" s="154"/>
      <c r="P357" s="154"/>
      <c r="Q357" s="50"/>
      <c r="R357" s="50"/>
      <c r="S357" s="50"/>
      <c r="T357" s="50"/>
      <c r="U357" s="50"/>
      <c r="V357" s="50"/>
      <c r="W357" s="50"/>
      <c r="X357" s="51"/>
      <c r="Y357" s="50"/>
      <c r="Z357" s="30"/>
      <c r="AA357" s="104"/>
      <c r="AB357" s="10"/>
      <c r="AC357" s="60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8"/>
      <c r="BC357" s="147"/>
      <c r="BD357" s="54"/>
      <c r="BE357" s="32"/>
    </row>
    <row r="358" spans="1:57" x14ac:dyDescent="0.3">
      <c r="A358" s="241" t="str">
        <f t="shared" si="7"/>
        <v/>
      </c>
      <c r="B358" s="323"/>
      <c r="C358" s="324"/>
      <c r="D358" s="325"/>
      <c r="E358" s="349"/>
      <c r="F358" s="347"/>
      <c r="G358" s="30"/>
      <c r="H358" s="30"/>
      <c r="I358" s="30"/>
      <c r="J358" s="30"/>
      <c r="K358" s="30"/>
      <c r="L358" s="30"/>
      <c r="M358" s="30"/>
      <c r="N358" s="30"/>
      <c r="O358" s="154"/>
      <c r="P358" s="154"/>
      <c r="Q358" s="50"/>
      <c r="R358" s="50"/>
      <c r="S358" s="50"/>
      <c r="T358" s="50"/>
      <c r="U358" s="50"/>
      <c r="V358" s="50"/>
      <c r="W358" s="50"/>
      <c r="X358" s="51"/>
      <c r="Y358" s="50"/>
      <c r="Z358" s="30"/>
      <c r="AA358" s="104"/>
      <c r="AB358" s="10"/>
      <c r="AC358" s="60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8"/>
      <c r="BC358" s="147"/>
      <c r="BD358" s="54"/>
      <c r="BE358" s="32"/>
    </row>
    <row r="359" spans="1:57" x14ac:dyDescent="0.3">
      <c r="A359" s="241" t="str">
        <f t="shared" si="7"/>
        <v/>
      </c>
      <c r="B359" s="323"/>
      <c r="C359" s="324"/>
      <c r="D359" s="325"/>
      <c r="E359" s="349"/>
      <c r="F359" s="347"/>
      <c r="G359" s="30"/>
      <c r="H359" s="30"/>
      <c r="I359" s="30"/>
      <c r="J359" s="30"/>
      <c r="K359" s="30"/>
      <c r="L359" s="30"/>
      <c r="M359" s="30"/>
      <c r="N359" s="30"/>
      <c r="O359" s="154"/>
      <c r="P359" s="154"/>
      <c r="Q359" s="50"/>
      <c r="R359" s="50"/>
      <c r="S359" s="50"/>
      <c r="T359" s="50"/>
      <c r="U359" s="50"/>
      <c r="V359" s="50"/>
      <c r="W359" s="50"/>
      <c r="X359" s="51"/>
      <c r="Y359" s="50"/>
      <c r="Z359" s="30"/>
      <c r="AA359" s="104"/>
      <c r="AB359" s="10"/>
      <c r="AC359" s="60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8"/>
      <c r="BC359" s="147"/>
      <c r="BD359" s="54"/>
      <c r="BE359" s="32"/>
    </row>
    <row r="360" spans="1:57" x14ac:dyDescent="0.3">
      <c r="A360" s="241" t="str">
        <f t="shared" si="7"/>
        <v/>
      </c>
      <c r="B360" s="323"/>
      <c r="C360" s="324"/>
      <c r="D360" s="325"/>
      <c r="E360" s="349"/>
      <c r="F360" s="347"/>
      <c r="G360" s="30"/>
      <c r="H360" s="30"/>
      <c r="I360" s="30"/>
      <c r="J360" s="30"/>
      <c r="K360" s="30"/>
      <c r="L360" s="30"/>
      <c r="M360" s="30"/>
      <c r="N360" s="30"/>
      <c r="O360" s="154"/>
      <c r="P360" s="154"/>
      <c r="Q360" s="50"/>
      <c r="R360" s="50"/>
      <c r="S360" s="50"/>
      <c r="T360" s="50"/>
      <c r="U360" s="50"/>
      <c r="V360" s="50"/>
      <c r="W360" s="50"/>
      <c r="X360" s="51"/>
      <c r="Y360" s="50"/>
      <c r="Z360" s="30"/>
      <c r="AA360" s="104"/>
      <c r="AB360" s="10"/>
      <c r="AC360" s="60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8"/>
      <c r="BC360" s="147"/>
      <c r="BD360" s="54"/>
      <c r="BE360" s="32"/>
    </row>
    <row r="361" spans="1:57" x14ac:dyDescent="0.3">
      <c r="A361" s="241" t="str">
        <f t="shared" si="7"/>
        <v/>
      </c>
      <c r="B361" s="323"/>
      <c r="C361" s="324"/>
      <c r="D361" s="325"/>
      <c r="E361" s="349"/>
      <c r="F361" s="347"/>
      <c r="G361" s="30"/>
      <c r="H361" s="30"/>
      <c r="I361" s="30"/>
      <c r="J361" s="30"/>
      <c r="K361" s="30"/>
      <c r="L361" s="30"/>
      <c r="M361" s="30"/>
      <c r="N361" s="30"/>
      <c r="O361" s="154"/>
      <c r="P361" s="154"/>
      <c r="Q361" s="50"/>
      <c r="R361" s="50"/>
      <c r="S361" s="50"/>
      <c r="T361" s="50"/>
      <c r="U361" s="50"/>
      <c r="V361" s="50"/>
      <c r="W361" s="50"/>
      <c r="X361" s="51"/>
      <c r="Y361" s="50"/>
      <c r="Z361" s="30"/>
      <c r="AA361" s="104"/>
      <c r="AB361" s="10"/>
      <c r="AC361" s="60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8"/>
      <c r="BC361" s="147"/>
      <c r="BD361" s="54"/>
      <c r="BE361" s="32"/>
    </row>
    <row r="362" spans="1:57" x14ac:dyDescent="0.3">
      <c r="A362" s="241" t="str">
        <f t="shared" si="7"/>
        <v/>
      </c>
      <c r="B362" s="323"/>
      <c r="C362" s="324"/>
      <c r="D362" s="325"/>
      <c r="E362" s="349"/>
      <c r="F362" s="347"/>
      <c r="G362" s="30"/>
      <c r="H362" s="30"/>
      <c r="I362" s="30"/>
      <c r="J362" s="30"/>
      <c r="K362" s="30"/>
      <c r="L362" s="30"/>
      <c r="M362" s="30"/>
      <c r="N362" s="30"/>
      <c r="O362" s="154"/>
      <c r="P362" s="154"/>
      <c r="Q362" s="50"/>
      <c r="R362" s="50"/>
      <c r="S362" s="50"/>
      <c r="T362" s="50"/>
      <c r="U362" s="50"/>
      <c r="V362" s="50"/>
      <c r="W362" s="50"/>
      <c r="X362" s="51"/>
      <c r="Y362" s="50"/>
      <c r="Z362" s="30"/>
      <c r="AA362" s="104"/>
      <c r="AB362" s="10"/>
      <c r="AC362" s="60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8"/>
      <c r="BC362" s="147"/>
      <c r="BD362" s="54"/>
      <c r="BE362" s="32"/>
    </row>
    <row r="363" spans="1:57" x14ac:dyDescent="0.3">
      <c r="A363" s="241" t="str">
        <f t="shared" si="7"/>
        <v/>
      </c>
      <c r="B363" s="323"/>
      <c r="C363" s="324"/>
      <c r="D363" s="325"/>
      <c r="E363" s="349"/>
      <c r="F363" s="347"/>
      <c r="G363" s="30"/>
      <c r="H363" s="30"/>
      <c r="I363" s="30"/>
      <c r="J363" s="30"/>
      <c r="K363" s="30"/>
      <c r="L363" s="30"/>
      <c r="M363" s="30"/>
      <c r="N363" s="30"/>
      <c r="O363" s="154"/>
      <c r="P363" s="154"/>
      <c r="Q363" s="50"/>
      <c r="R363" s="50"/>
      <c r="S363" s="50"/>
      <c r="T363" s="50"/>
      <c r="U363" s="50"/>
      <c r="V363" s="50"/>
      <c r="W363" s="50"/>
      <c r="X363" s="51"/>
      <c r="Y363" s="50"/>
      <c r="Z363" s="30"/>
      <c r="AA363" s="104"/>
      <c r="AB363" s="10"/>
      <c r="AC363" s="60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8"/>
      <c r="BC363" s="147"/>
      <c r="BD363" s="54"/>
      <c r="BE363" s="32"/>
    </row>
    <row r="364" spans="1:57" x14ac:dyDescent="0.3">
      <c r="A364" s="241" t="str">
        <f t="shared" si="7"/>
        <v/>
      </c>
      <c r="B364" s="323"/>
      <c r="C364" s="324"/>
      <c r="D364" s="325"/>
      <c r="E364" s="349"/>
      <c r="F364" s="347"/>
      <c r="G364" s="30"/>
      <c r="H364" s="30"/>
      <c r="I364" s="30"/>
      <c r="J364" s="30"/>
      <c r="K364" s="30"/>
      <c r="L364" s="30"/>
      <c r="M364" s="30"/>
      <c r="N364" s="30"/>
      <c r="O364" s="154"/>
      <c r="P364" s="154"/>
      <c r="Q364" s="50"/>
      <c r="R364" s="50"/>
      <c r="S364" s="50"/>
      <c r="T364" s="50"/>
      <c r="U364" s="50"/>
      <c r="V364" s="50"/>
      <c r="W364" s="50"/>
      <c r="X364" s="51"/>
      <c r="Y364" s="50"/>
      <c r="Z364" s="30"/>
      <c r="AA364" s="104"/>
      <c r="AB364" s="10"/>
      <c r="AC364" s="60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8"/>
      <c r="BC364" s="147"/>
      <c r="BD364" s="54"/>
      <c r="BE364" s="32"/>
    </row>
    <row r="365" spans="1:57" x14ac:dyDescent="0.3">
      <c r="A365" s="241" t="str">
        <f t="shared" si="7"/>
        <v/>
      </c>
      <c r="B365" s="323"/>
      <c r="C365" s="324"/>
      <c r="D365" s="325"/>
      <c r="E365" s="349"/>
      <c r="F365" s="347"/>
      <c r="G365" s="30"/>
      <c r="H365" s="30"/>
      <c r="I365" s="30"/>
      <c r="J365" s="30"/>
      <c r="K365" s="30"/>
      <c r="L365" s="30"/>
      <c r="M365" s="30"/>
      <c r="N365" s="30"/>
      <c r="O365" s="154"/>
      <c r="P365" s="154"/>
      <c r="Q365" s="50"/>
      <c r="R365" s="50"/>
      <c r="S365" s="50"/>
      <c r="T365" s="50"/>
      <c r="U365" s="50"/>
      <c r="V365" s="50"/>
      <c r="W365" s="50"/>
      <c r="X365" s="51"/>
      <c r="Y365" s="50"/>
      <c r="Z365" s="30"/>
      <c r="AA365" s="104"/>
      <c r="AB365" s="10"/>
      <c r="AC365" s="60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8"/>
      <c r="BC365" s="147"/>
      <c r="BD365" s="54"/>
      <c r="BE365" s="32"/>
    </row>
    <row r="366" spans="1:57" x14ac:dyDescent="0.3">
      <c r="A366" s="241" t="str">
        <f t="shared" si="7"/>
        <v/>
      </c>
      <c r="B366" s="323"/>
      <c r="C366" s="324"/>
      <c r="D366" s="325"/>
      <c r="E366" s="349"/>
      <c r="F366" s="347"/>
      <c r="G366" s="30"/>
      <c r="H366" s="30"/>
      <c r="I366" s="30"/>
      <c r="J366" s="30"/>
      <c r="K366" s="30"/>
      <c r="L366" s="30"/>
      <c r="M366" s="30"/>
      <c r="N366" s="30"/>
      <c r="O366" s="154"/>
      <c r="P366" s="154"/>
      <c r="Q366" s="50"/>
      <c r="R366" s="50"/>
      <c r="S366" s="50"/>
      <c r="T366" s="50"/>
      <c r="U366" s="50"/>
      <c r="V366" s="50"/>
      <c r="W366" s="50"/>
      <c r="X366" s="51"/>
      <c r="Y366" s="50"/>
      <c r="Z366" s="30"/>
      <c r="AA366" s="104"/>
      <c r="AB366" s="10"/>
      <c r="AC366" s="60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8"/>
      <c r="BC366" s="147"/>
      <c r="BD366" s="54"/>
      <c r="BE366" s="32"/>
    </row>
    <row r="367" spans="1:57" x14ac:dyDescent="0.3">
      <c r="A367" s="241" t="str">
        <f t="shared" si="7"/>
        <v/>
      </c>
      <c r="B367" s="323"/>
      <c r="C367" s="324"/>
      <c r="D367" s="325"/>
      <c r="E367" s="349"/>
      <c r="F367" s="347"/>
      <c r="G367" s="30"/>
      <c r="H367" s="30"/>
      <c r="I367" s="30"/>
      <c r="J367" s="30"/>
      <c r="K367" s="30"/>
      <c r="L367" s="30"/>
      <c r="M367" s="30"/>
      <c r="N367" s="30"/>
      <c r="O367" s="154"/>
      <c r="P367" s="154"/>
      <c r="Q367" s="50"/>
      <c r="R367" s="50"/>
      <c r="S367" s="50"/>
      <c r="T367" s="50"/>
      <c r="U367" s="50"/>
      <c r="V367" s="50"/>
      <c r="W367" s="50"/>
      <c r="X367" s="51"/>
      <c r="Y367" s="50"/>
      <c r="Z367" s="30"/>
      <c r="AA367" s="104"/>
      <c r="AB367" s="10"/>
      <c r="AC367" s="60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8"/>
      <c r="BC367" s="147"/>
      <c r="BD367" s="54"/>
      <c r="BE367" s="32"/>
    </row>
    <row r="368" spans="1:57" x14ac:dyDescent="0.3">
      <c r="A368" s="241" t="str">
        <f t="shared" si="7"/>
        <v/>
      </c>
      <c r="B368" s="323"/>
      <c r="C368" s="324"/>
      <c r="D368" s="325"/>
      <c r="E368" s="349"/>
      <c r="F368" s="347"/>
      <c r="G368" s="30"/>
      <c r="H368" s="30"/>
      <c r="I368" s="30"/>
      <c r="J368" s="30"/>
      <c r="K368" s="30"/>
      <c r="L368" s="30"/>
      <c r="M368" s="30"/>
      <c r="N368" s="30"/>
      <c r="O368" s="154"/>
      <c r="P368" s="154"/>
      <c r="Q368" s="50"/>
      <c r="R368" s="50"/>
      <c r="S368" s="50"/>
      <c r="T368" s="50"/>
      <c r="U368" s="50"/>
      <c r="V368" s="50"/>
      <c r="W368" s="50"/>
      <c r="X368" s="51"/>
      <c r="Y368" s="50"/>
      <c r="Z368" s="30"/>
      <c r="AA368" s="104"/>
      <c r="AB368" s="10"/>
      <c r="AC368" s="60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8"/>
      <c r="BC368" s="147"/>
      <c r="BD368" s="54"/>
      <c r="BE368" s="32"/>
    </row>
    <row r="369" spans="1:57" x14ac:dyDescent="0.3">
      <c r="A369" s="241" t="str">
        <f t="shared" si="7"/>
        <v/>
      </c>
      <c r="B369" s="323"/>
      <c r="C369" s="324"/>
      <c r="D369" s="325"/>
      <c r="E369" s="349"/>
      <c r="F369" s="347"/>
      <c r="G369" s="30"/>
      <c r="H369" s="30"/>
      <c r="I369" s="30"/>
      <c r="J369" s="30"/>
      <c r="K369" s="30"/>
      <c r="L369" s="30"/>
      <c r="M369" s="30"/>
      <c r="N369" s="30"/>
      <c r="O369" s="154"/>
      <c r="P369" s="154"/>
      <c r="Q369" s="50"/>
      <c r="R369" s="50"/>
      <c r="S369" s="50"/>
      <c r="T369" s="50"/>
      <c r="U369" s="50"/>
      <c r="V369" s="50"/>
      <c r="W369" s="50"/>
      <c r="X369" s="51"/>
      <c r="Y369" s="50"/>
      <c r="Z369" s="30"/>
      <c r="AA369" s="104"/>
      <c r="AB369" s="10"/>
      <c r="AC369" s="60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8"/>
      <c r="BC369" s="147"/>
      <c r="BD369" s="54"/>
      <c r="BE369" s="32"/>
    </row>
    <row r="370" spans="1:57" x14ac:dyDescent="0.3">
      <c r="A370" s="241" t="str">
        <f t="shared" si="7"/>
        <v/>
      </c>
      <c r="B370" s="323"/>
      <c r="C370" s="324"/>
      <c r="D370" s="325"/>
      <c r="E370" s="349"/>
      <c r="F370" s="347"/>
      <c r="G370" s="30"/>
      <c r="H370" s="30"/>
      <c r="I370" s="30"/>
      <c r="J370" s="30"/>
      <c r="K370" s="30"/>
      <c r="L370" s="30"/>
      <c r="M370" s="30"/>
      <c r="N370" s="30"/>
      <c r="O370" s="154"/>
      <c r="P370" s="154"/>
      <c r="Q370" s="50"/>
      <c r="R370" s="50"/>
      <c r="S370" s="50"/>
      <c r="T370" s="50"/>
      <c r="U370" s="50"/>
      <c r="V370" s="50"/>
      <c r="W370" s="50"/>
      <c r="X370" s="51"/>
      <c r="Y370" s="50"/>
      <c r="Z370" s="30"/>
      <c r="AA370" s="104"/>
      <c r="AB370" s="10"/>
      <c r="AC370" s="60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8"/>
      <c r="BC370" s="147"/>
      <c r="BD370" s="54"/>
      <c r="BE370" s="32"/>
    </row>
    <row r="371" spans="1:57" x14ac:dyDescent="0.3">
      <c r="A371" s="241" t="str">
        <f t="shared" si="7"/>
        <v/>
      </c>
      <c r="B371" s="323"/>
      <c r="C371" s="324"/>
      <c r="D371" s="325"/>
      <c r="E371" s="349"/>
      <c r="F371" s="347"/>
      <c r="G371" s="30"/>
      <c r="H371" s="30"/>
      <c r="I371" s="30"/>
      <c r="J371" s="30"/>
      <c r="K371" s="30"/>
      <c r="L371" s="30"/>
      <c r="M371" s="30"/>
      <c r="N371" s="30"/>
      <c r="O371" s="154"/>
      <c r="P371" s="154"/>
      <c r="Q371" s="50"/>
      <c r="R371" s="50"/>
      <c r="S371" s="50"/>
      <c r="T371" s="50"/>
      <c r="U371" s="50"/>
      <c r="V371" s="50"/>
      <c r="W371" s="50"/>
      <c r="X371" s="51"/>
      <c r="Y371" s="50"/>
      <c r="Z371" s="30"/>
      <c r="AA371" s="104"/>
      <c r="AB371" s="10"/>
      <c r="AC371" s="60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8"/>
      <c r="BC371" s="147"/>
      <c r="BD371" s="54"/>
      <c r="BE371" s="32"/>
    </row>
    <row r="372" spans="1:57" x14ac:dyDescent="0.3">
      <c r="A372" s="241" t="str">
        <f t="shared" si="7"/>
        <v/>
      </c>
      <c r="B372" s="323"/>
      <c r="C372" s="324"/>
      <c r="D372" s="325"/>
      <c r="E372" s="349"/>
      <c r="F372" s="347"/>
      <c r="G372" s="30"/>
      <c r="H372" s="30"/>
      <c r="I372" s="30"/>
      <c r="J372" s="30"/>
      <c r="K372" s="30"/>
      <c r="L372" s="30"/>
      <c r="M372" s="30"/>
      <c r="N372" s="30"/>
      <c r="O372" s="154"/>
      <c r="P372" s="154"/>
      <c r="Q372" s="50"/>
      <c r="R372" s="50"/>
      <c r="S372" s="50"/>
      <c r="T372" s="50"/>
      <c r="U372" s="50"/>
      <c r="V372" s="50"/>
      <c r="W372" s="50"/>
      <c r="X372" s="51"/>
      <c r="Y372" s="50"/>
      <c r="Z372" s="30"/>
      <c r="AA372" s="104"/>
      <c r="AB372" s="10"/>
      <c r="AC372" s="60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8"/>
      <c r="BC372" s="147"/>
      <c r="BD372" s="54"/>
      <c r="BE372" s="32"/>
    </row>
    <row r="373" spans="1:57" x14ac:dyDescent="0.3">
      <c r="A373" s="241" t="str">
        <f t="shared" si="7"/>
        <v/>
      </c>
      <c r="B373" s="323"/>
      <c r="C373" s="324"/>
      <c r="D373" s="325"/>
      <c r="E373" s="349"/>
      <c r="F373" s="347"/>
      <c r="G373" s="30"/>
      <c r="H373" s="30"/>
      <c r="I373" s="30"/>
      <c r="J373" s="30"/>
      <c r="K373" s="30"/>
      <c r="L373" s="30"/>
      <c r="M373" s="30"/>
      <c r="N373" s="30"/>
      <c r="O373" s="154"/>
      <c r="P373" s="154"/>
      <c r="Q373" s="50"/>
      <c r="R373" s="50"/>
      <c r="S373" s="50"/>
      <c r="T373" s="50"/>
      <c r="U373" s="50"/>
      <c r="V373" s="50"/>
      <c r="W373" s="50"/>
      <c r="X373" s="51"/>
      <c r="Y373" s="50"/>
      <c r="Z373" s="30"/>
      <c r="AA373" s="104"/>
      <c r="AB373" s="10"/>
      <c r="AC373" s="60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8"/>
      <c r="BC373" s="147"/>
      <c r="BD373" s="54"/>
      <c r="BE373" s="32"/>
    </row>
    <row r="374" spans="1:57" x14ac:dyDescent="0.3">
      <c r="A374" s="241" t="str">
        <f t="shared" si="7"/>
        <v/>
      </c>
      <c r="B374" s="323"/>
      <c r="C374" s="324"/>
      <c r="D374" s="325"/>
      <c r="E374" s="349"/>
      <c r="F374" s="347"/>
      <c r="G374" s="30"/>
      <c r="H374" s="30"/>
      <c r="I374" s="30"/>
      <c r="J374" s="30"/>
      <c r="K374" s="30"/>
      <c r="L374" s="30"/>
      <c r="M374" s="30"/>
      <c r="N374" s="30"/>
      <c r="O374" s="154"/>
      <c r="P374" s="154"/>
      <c r="Q374" s="50"/>
      <c r="R374" s="50"/>
      <c r="S374" s="50"/>
      <c r="T374" s="50"/>
      <c r="U374" s="50"/>
      <c r="V374" s="50"/>
      <c r="W374" s="50"/>
      <c r="X374" s="51"/>
      <c r="Y374" s="50"/>
      <c r="Z374" s="30"/>
      <c r="AA374" s="104"/>
      <c r="AB374" s="10"/>
      <c r="AC374" s="60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8"/>
      <c r="BC374" s="147"/>
      <c r="BD374" s="54"/>
      <c r="BE374" s="32"/>
    </row>
    <row r="375" spans="1:57" x14ac:dyDescent="0.3">
      <c r="A375" s="241" t="str">
        <f t="shared" si="7"/>
        <v/>
      </c>
      <c r="B375" s="323"/>
      <c r="C375" s="324"/>
      <c r="D375" s="325"/>
      <c r="E375" s="349"/>
      <c r="F375" s="347"/>
      <c r="G375" s="30"/>
      <c r="H375" s="30"/>
      <c r="I375" s="30"/>
      <c r="J375" s="30"/>
      <c r="K375" s="30"/>
      <c r="L375" s="30"/>
      <c r="M375" s="30"/>
      <c r="N375" s="30"/>
      <c r="O375" s="154"/>
      <c r="P375" s="154"/>
      <c r="Q375" s="50"/>
      <c r="R375" s="50"/>
      <c r="S375" s="50"/>
      <c r="T375" s="50"/>
      <c r="U375" s="50"/>
      <c r="V375" s="50"/>
      <c r="W375" s="50"/>
      <c r="X375" s="51"/>
      <c r="Y375" s="50"/>
      <c r="Z375" s="30"/>
      <c r="AA375" s="104"/>
      <c r="AB375" s="10"/>
      <c r="AC375" s="60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8"/>
      <c r="BC375" s="147"/>
      <c r="BD375" s="54"/>
      <c r="BE375" s="32"/>
    </row>
    <row r="376" spans="1:57" x14ac:dyDescent="0.3">
      <c r="A376" s="241" t="str">
        <f t="shared" si="7"/>
        <v/>
      </c>
      <c r="B376" s="323"/>
      <c r="C376" s="324"/>
      <c r="D376" s="325"/>
      <c r="E376" s="349"/>
      <c r="F376" s="347"/>
      <c r="G376" s="30"/>
      <c r="H376" s="30"/>
      <c r="I376" s="30"/>
      <c r="J376" s="30"/>
      <c r="K376" s="30"/>
      <c r="L376" s="30"/>
      <c r="M376" s="30"/>
      <c r="N376" s="30"/>
      <c r="O376" s="154"/>
      <c r="P376" s="154"/>
      <c r="Q376" s="50"/>
      <c r="R376" s="50"/>
      <c r="S376" s="50"/>
      <c r="T376" s="50"/>
      <c r="U376" s="50"/>
      <c r="V376" s="50"/>
      <c r="W376" s="50"/>
      <c r="X376" s="51"/>
      <c r="Y376" s="50"/>
      <c r="Z376" s="30"/>
      <c r="AA376" s="104"/>
      <c r="AB376" s="10"/>
      <c r="AC376" s="60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8"/>
      <c r="BC376" s="147"/>
      <c r="BD376" s="54"/>
      <c r="BE376" s="32"/>
    </row>
    <row r="377" spans="1:57" x14ac:dyDescent="0.3">
      <c r="A377" s="241" t="str">
        <f t="shared" si="7"/>
        <v/>
      </c>
      <c r="B377" s="323"/>
      <c r="C377" s="324"/>
      <c r="D377" s="325"/>
      <c r="E377" s="349"/>
      <c r="F377" s="347"/>
      <c r="G377" s="30"/>
      <c r="H377" s="30"/>
      <c r="I377" s="30"/>
      <c r="J377" s="30"/>
      <c r="K377" s="30"/>
      <c r="L377" s="30"/>
      <c r="M377" s="30"/>
      <c r="N377" s="30"/>
      <c r="O377" s="154"/>
      <c r="P377" s="154"/>
      <c r="Q377" s="50"/>
      <c r="R377" s="50"/>
      <c r="S377" s="50"/>
      <c r="T377" s="50"/>
      <c r="U377" s="50"/>
      <c r="V377" s="50"/>
      <c r="W377" s="50"/>
      <c r="X377" s="51"/>
      <c r="Y377" s="50"/>
      <c r="Z377" s="30"/>
      <c r="AA377" s="104"/>
      <c r="AB377" s="10"/>
      <c r="AC377" s="60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8"/>
      <c r="BC377" s="147"/>
      <c r="BD377" s="54"/>
      <c r="BE377" s="32"/>
    </row>
    <row r="378" spans="1:57" x14ac:dyDescent="0.3">
      <c r="A378" s="241" t="str">
        <f t="shared" si="7"/>
        <v/>
      </c>
      <c r="B378" s="323"/>
      <c r="C378" s="324"/>
      <c r="D378" s="325"/>
      <c r="E378" s="349"/>
      <c r="F378" s="347"/>
      <c r="G378" s="30"/>
      <c r="H378" s="30"/>
      <c r="I378" s="30"/>
      <c r="J378" s="30"/>
      <c r="K378" s="30"/>
      <c r="L378" s="30"/>
      <c r="M378" s="30"/>
      <c r="N378" s="30"/>
      <c r="O378" s="154"/>
      <c r="P378" s="154"/>
      <c r="Q378" s="50"/>
      <c r="R378" s="50"/>
      <c r="S378" s="50"/>
      <c r="T378" s="50"/>
      <c r="U378" s="50"/>
      <c r="V378" s="50"/>
      <c r="W378" s="50"/>
      <c r="X378" s="51"/>
      <c r="Y378" s="50"/>
      <c r="Z378" s="30"/>
      <c r="AA378" s="104"/>
      <c r="AB378" s="10"/>
      <c r="AC378" s="60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8"/>
      <c r="BC378" s="147"/>
      <c r="BD378" s="54"/>
      <c r="BE378" s="32"/>
    </row>
    <row r="379" spans="1:57" x14ac:dyDescent="0.3">
      <c r="A379" s="241" t="str">
        <f t="shared" si="7"/>
        <v/>
      </c>
      <c r="B379" s="323"/>
      <c r="C379" s="324"/>
      <c r="D379" s="325"/>
      <c r="E379" s="349"/>
      <c r="F379" s="347"/>
      <c r="G379" s="30"/>
      <c r="H379" s="30"/>
      <c r="I379" s="30"/>
      <c r="J379" s="30"/>
      <c r="K379" s="30"/>
      <c r="L379" s="30"/>
      <c r="M379" s="30"/>
      <c r="N379" s="30"/>
      <c r="O379" s="154"/>
      <c r="P379" s="154"/>
      <c r="Q379" s="50"/>
      <c r="R379" s="50"/>
      <c r="S379" s="50"/>
      <c r="T379" s="50"/>
      <c r="U379" s="50"/>
      <c r="V379" s="50"/>
      <c r="W379" s="50"/>
      <c r="X379" s="51"/>
      <c r="Y379" s="50"/>
      <c r="Z379" s="30"/>
      <c r="AA379" s="104"/>
      <c r="AB379" s="10"/>
      <c r="AC379" s="60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8"/>
      <c r="BC379" s="147"/>
      <c r="BD379" s="54"/>
      <c r="BE379" s="32"/>
    </row>
    <row r="380" spans="1:57" x14ac:dyDescent="0.3">
      <c r="A380" s="241" t="str">
        <f t="shared" si="7"/>
        <v/>
      </c>
      <c r="B380" s="323"/>
      <c r="C380" s="324"/>
      <c r="D380" s="325"/>
      <c r="E380" s="349"/>
      <c r="F380" s="347"/>
      <c r="G380" s="30"/>
      <c r="H380" s="30"/>
      <c r="I380" s="30"/>
      <c r="J380" s="30"/>
      <c r="K380" s="30"/>
      <c r="L380" s="30"/>
      <c r="M380" s="30"/>
      <c r="N380" s="30"/>
      <c r="O380" s="154"/>
      <c r="P380" s="154"/>
      <c r="Q380" s="50"/>
      <c r="R380" s="50"/>
      <c r="S380" s="50"/>
      <c r="T380" s="50"/>
      <c r="U380" s="50"/>
      <c r="V380" s="50"/>
      <c r="W380" s="50"/>
      <c r="X380" s="51"/>
      <c r="Y380" s="50"/>
      <c r="Z380" s="30"/>
      <c r="AA380" s="104"/>
      <c r="AB380" s="10"/>
      <c r="AC380" s="60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8"/>
      <c r="BC380" s="147"/>
      <c r="BD380" s="54"/>
      <c r="BE380" s="32"/>
    </row>
    <row r="381" spans="1:57" x14ac:dyDescent="0.3">
      <c r="A381" s="241" t="str">
        <f t="shared" si="7"/>
        <v/>
      </c>
      <c r="B381" s="323"/>
      <c r="C381" s="324"/>
      <c r="D381" s="325"/>
      <c r="E381" s="349"/>
      <c r="F381" s="347"/>
      <c r="G381" s="30"/>
      <c r="H381" s="30"/>
      <c r="I381" s="30"/>
      <c r="J381" s="30"/>
      <c r="K381" s="30"/>
      <c r="L381" s="30"/>
      <c r="M381" s="30"/>
      <c r="N381" s="30"/>
      <c r="O381" s="154"/>
      <c r="P381" s="154"/>
      <c r="Q381" s="50"/>
      <c r="R381" s="50"/>
      <c r="S381" s="50"/>
      <c r="T381" s="50"/>
      <c r="U381" s="50"/>
      <c r="V381" s="50"/>
      <c r="W381" s="50"/>
      <c r="X381" s="51"/>
      <c r="Y381" s="50"/>
      <c r="Z381" s="30"/>
      <c r="AA381" s="104"/>
      <c r="AB381" s="10"/>
      <c r="AC381" s="60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8"/>
      <c r="BC381" s="147"/>
      <c r="BD381" s="54"/>
      <c r="BE381" s="32"/>
    </row>
    <row r="382" spans="1:57" x14ac:dyDescent="0.3">
      <c r="A382" s="241" t="str">
        <f t="shared" si="7"/>
        <v/>
      </c>
      <c r="B382" s="323"/>
      <c r="C382" s="324"/>
      <c r="D382" s="325"/>
      <c r="E382" s="349"/>
      <c r="F382" s="347"/>
      <c r="G382" s="30"/>
      <c r="H382" s="30"/>
      <c r="I382" s="30"/>
      <c r="J382" s="30"/>
      <c r="K382" s="30"/>
      <c r="L382" s="30"/>
      <c r="M382" s="30"/>
      <c r="N382" s="30"/>
      <c r="O382" s="154"/>
      <c r="P382" s="154"/>
      <c r="Q382" s="50"/>
      <c r="R382" s="50"/>
      <c r="S382" s="50"/>
      <c r="T382" s="50"/>
      <c r="U382" s="50"/>
      <c r="V382" s="50"/>
      <c r="W382" s="50"/>
      <c r="X382" s="51"/>
      <c r="Y382" s="50"/>
      <c r="Z382" s="30"/>
      <c r="AA382" s="104"/>
      <c r="AB382" s="10"/>
      <c r="AC382" s="60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8"/>
      <c r="BC382" s="147"/>
      <c r="BD382" s="54"/>
      <c r="BE382" s="32"/>
    </row>
    <row r="383" spans="1:57" x14ac:dyDescent="0.3">
      <c r="A383" s="241" t="str">
        <f t="shared" si="7"/>
        <v/>
      </c>
      <c r="B383" s="323"/>
      <c r="C383" s="324"/>
      <c r="D383" s="325"/>
      <c r="E383" s="349"/>
      <c r="F383" s="347"/>
      <c r="G383" s="30"/>
      <c r="H383" s="30"/>
      <c r="I383" s="30"/>
      <c r="J383" s="30"/>
      <c r="K383" s="30"/>
      <c r="L383" s="30"/>
      <c r="M383" s="30"/>
      <c r="N383" s="30"/>
      <c r="O383" s="154"/>
      <c r="P383" s="154"/>
      <c r="Q383" s="50"/>
      <c r="R383" s="50"/>
      <c r="S383" s="50"/>
      <c r="T383" s="50"/>
      <c r="U383" s="50"/>
      <c r="V383" s="50"/>
      <c r="W383" s="50"/>
      <c r="X383" s="51"/>
      <c r="Y383" s="50"/>
      <c r="Z383" s="30"/>
      <c r="AA383" s="104"/>
      <c r="AB383" s="10"/>
      <c r="AC383" s="60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8"/>
      <c r="BC383" s="147"/>
      <c r="BD383" s="54"/>
      <c r="BE383" s="32"/>
    </row>
    <row r="384" spans="1:57" x14ac:dyDescent="0.3">
      <c r="A384" s="241" t="str">
        <f t="shared" si="7"/>
        <v/>
      </c>
      <c r="B384" s="323"/>
      <c r="C384" s="324"/>
      <c r="D384" s="325"/>
      <c r="E384" s="349"/>
      <c r="F384" s="347"/>
      <c r="G384" s="30"/>
      <c r="H384" s="30"/>
      <c r="I384" s="30"/>
      <c r="J384" s="30"/>
      <c r="K384" s="30"/>
      <c r="L384" s="30"/>
      <c r="M384" s="30"/>
      <c r="N384" s="30"/>
      <c r="O384" s="154"/>
      <c r="P384" s="154"/>
      <c r="Q384" s="50"/>
      <c r="R384" s="50"/>
      <c r="S384" s="50"/>
      <c r="T384" s="50"/>
      <c r="U384" s="50"/>
      <c r="V384" s="50"/>
      <c r="W384" s="50"/>
      <c r="X384" s="51"/>
      <c r="Y384" s="50"/>
      <c r="Z384" s="30"/>
      <c r="AA384" s="104"/>
      <c r="AB384" s="10"/>
      <c r="AC384" s="60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8"/>
      <c r="BC384" s="147"/>
      <c r="BD384" s="54"/>
      <c r="BE384" s="32"/>
    </row>
    <row r="385" spans="1:57" x14ac:dyDescent="0.3">
      <c r="A385" s="241" t="str">
        <f t="shared" si="7"/>
        <v/>
      </c>
      <c r="B385" s="323"/>
      <c r="C385" s="324"/>
      <c r="D385" s="325"/>
      <c r="E385" s="349"/>
      <c r="F385" s="347"/>
      <c r="G385" s="30"/>
      <c r="H385" s="30"/>
      <c r="I385" s="30"/>
      <c r="J385" s="30"/>
      <c r="K385" s="30"/>
      <c r="L385" s="30"/>
      <c r="M385" s="30"/>
      <c r="N385" s="30"/>
      <c r="O385" s="154"/>
      <c r="P385" s="154"/>
      <c r="Q385" s="50"/>
      <c r="R385" s="50"/>
      <c r="S385" s="50"/>
      <c r="T385" s="50"/>
      <c r="U385" s="50"/>
      <c r="V385" s="50"/>
      <c r="W385" s="50"/>
      <c r="X385" s="51"/>
      <c r="Y385" s="50"/>
      <c r="Z385" s="30"/>
      <c r="AA385" s="104"/>
      <c r="AB385" s="10"/>
      <c r="AC385" s="60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8"/>
      <c r="BC385" s="147"/>
      <c r="BD385" s="54"/>
      <c r="BE385" s="32"/>
    </row>
    <row r="386" spans="1:57" x14ac:dyDescent="0.3">
      <c r="A386" s="241" t="str">
        <f t="shared" si="7"/>
        <v/>
      </c>
      <c r="B386" s="323"/>
      <c r="C386" s="324"/>
      <c r="D386" s="325"/>
      <c r="E386" s="349"/>
      <c r="F386" s="347"/>
      <c r="G386" s="30"/>
      <c r="H386" s="30"/>
      <c r="I386" s="30"/>
      <c r="J386" s="30"/>
      <c r="K386" s="30"/>
      <c r="L386" s="30"/>
      <c r="M386" s="30"/>
      <c r="N386" s="30"/>
      <c r="O386" s="154"/>
      <c r="P386" s="154"/>
      <c r="Q386" s="50"/>
      <c r="R386" s="50"/>
      <c r="S386" s="50"/>
      <c r="T386" s="50"/>
      <c r="U386" s="50"/>
      <c r="V386" s="50"/>
      <c r="W386" s="50"/>
      <c r="X386" s="51"/>
      <c r="Y386" s="50"/>
      <c r="Z386" s="30"/>
      <c r="AA386" s="104"/>
      <c r="AB386" s="10"/>
      <c r="AC386" s="60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8"/>
      <c r="BC386" s="147"/>
      <c r="BD386" s="54"/>
      <c r="BE386" s="32"/>
    </row>
    <row r="387" spans="1:57" x14ac:dyDescent="0.3">
      <c r="A387" s="241" t="str">
        <f t="shared" si="7"/>
        <v/>
      </c>
      <c r="B387" s="323"/>
      <c r="C387" s="324"/>
      <c r="D387" s="325"/>
      <c r="E387" s="349"/>
      <c r="F387" s="347"/>
      <c r="G387" s="30"/>
      <c r="H387" s="30"/>
      <c r="I387" s="30"/>
      <c r="J387" s="30"/>
      <c r="K387" s="30"/>
      <c r="L387" s="30"/>
      <c r="M387" s="30"/>
      <c r="N387" s="30"/>
      <c r="O387" s="154"/>
      <c r="P387" s="154"/>
      <c r="Q387" s="50"/>
      <c r="R387" s="50"/>
      <c r="S387" s="50"/>
      <c r="T387" s="50"/>
      <c r="U387" s="50"/>
      <c r="V387" s="50"/>
      <c r="W387" s="50"/>
      <c r="X387" s="51"/>
      <c r="Y387" s="50"/>
      <c r="Z387" s="30"/>
      <c r="AA387" s="104"/>
      <c r="AB387" s="10"/>
      <c r="AC387" s="60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8"/>
      <c r="BC387" s="147"/>
      <c r="BD387" s="54"/>
      <c r="BE387" s="32"/>
    </row>
    <row r="388" spans="1:57" x14ac:dyDescent="0.3">
      <c r="A388" s="241" t="str">
        <f t="shared" si="7"/>
        <v/>
      </c>
      <c r="B388" s="323"/>
      <c r="C388" s="324"/>
      <c r="D388" s="325"/>
      <c r="E388" s="349"/>
      <c r="F388" s="347"/>
      <c r="G388" s="30"/>
      <c r="H388" s="30"/>
      <c r="I388" s="30"/>
      <c r="J388" s="30"/>
      <c r="K388" s="30"/>
      <c r="L388" s="30"/>
      <c r="M388" s="30"/>
      <c r="N388" s="30"/>
      <c r="O388" s="154"/>
      <c r="P388" s="154"/>
      <c r="Q388" s="50"/>
      <c r="R388" s="50"/>
      <c r="S388" s="50"/>
      <c r="T388" s="50"/>
      <c r="U388" s="50"/>
      <c r="V388" s="50"/>
      <c r="W388" s="50"/>
      <c r="X388" s="51"/>
      <c r="Y388" s="50"/>
      <c r="Z388" s="30"/>
      <c r="AA388" s="104"/>
      <c r="AB388" s="10"/>
      <c r="AC388" s="60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8"/>
      <c r="BC388" s="147"/>
      <c r="BD388" s="54"/>
      <c r="BE388" s="32"/>
    </row>
    <row r="389" spans="1:57" x14ac:dyDescent="0.3">
      <c r="A389" s="241" t="str">
        <f t="shared" si="7"/>
        <v/>
      </c>
      <c r="B389" s="323"/>
      <c r="C389" s="324"/>
      <c r="D389" s="325"/>
      <c r="E389" s="349"/>
      <c r="F389" s="347"/>
      <c r="G389" s="30"/>
      <c r="H389" s="30"/>
      <c r="I389" s="30"/>
      <c r="J389" s="30"/>
      <c r="K389" s="30"/>
      <c r="L389" s="30"/>
      <c r="M389" s="30"/>
      <c r="N389" s="30"/>
      <c r="O389" s="154"/>
      <c r="P389" s="154"/>
      <c r="Q389" s="50"/>
      <c r="R389" s="50"/>
      <c r="S389" s="50"/>
      <c r="T389" s="50"/>
      <c r="U389" s="50"/>
      <c r="V389" s="50"/>
      <c r="W389" s="50"/>
      <c r="X389" s="51"/>
      <c r="Y389" s="50"/>
      <c r="Z389" s="30"/>
      <c r="AA389" s="104"/>
      <c r="AB389" s="10"/>
      <c r="AC389" s="60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8"/>
      <c r="BC389" s="147"/>
      <c r="BD389" s="54"/>
      <c r="BE389" s="32"/>
    </row>
    <row r="390" spans="1:57" x14ac:dyDescent="0.3">
      <c r="A390" s="241" t="str">
        <f t="shared" si="7"/>
        <v/>
      </c>
      <c r="B390" s="323"/>
      <c r="C390" s="324"/>
      <c r="D390" s="325"/>
      <c r="E390" s="349"/>
      <c r="F390" s="347"/>
      <c r="G390" s="30"/>
      <c r="H390" s="30"/>
      <c r="I390" s="30"/>
      <c r="J390" s="30"/>
      <c r="K390" s="30"/>
      <c r="L390" s="30"/>
      <c r="M390" s="30"/>
      <c r="N390" s="30"/>
      <c r="O390" s="154"/>
      <c r="P390" s="154"/>
      <c r="Q390" s="50"/>
      <c r="R390" s="50"/>
      <c r="S390" s="50"/>
      <c r="T390" s="50"/>
      <c r="U390" s="50"/>
      <c r="V390" s="50"/>
      <c r="W390" s="50"/>
      <c r="X390" s="51"/>
      <c r="Y390" s="50"/>
      <c r="Z390" s="30"/>
      <c r="AA390" s="104"/>
      <c r="AB390" s="10"/>
      <c r="AC390" s="60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8"/>
      <c r="BC390" s="147"/>
      <c r="BD390" s="54"/>
      <c r="BE390" s="32"/>
    </row>
    <row r="391" spans="1:57" x14ac:dyDescent="0.3">
      <c r="A391" s="241" t="str">
        <f t="shared" si="7"/>
        <v/>
      </c>
      <c r="B391" s="323"/>
      <c r="C391" s="324"/>
      <c r="D391" s="325"/>
      <c r="E391" s="349"/>
      <c r="F391" s="347"/>
      <c r="G391" s="30"/>
      <c r="H391" s="30"/>
      <c r="I391" s="30"/>
      <c r="J391" s="30"/>
      <c r="K391" s="30"/>
      <c r="L391" s="30"/>
      <c r="M391" s="30"/>
      <c r="N391" s="30"/>
      <c r="O391" s="154"/>
      <c r="P391" s="154"/>
      <c r="Q391" s="50"/>
      <c r="R391" s="50"/>
      <c r="S391" s="50"/>
      <c r="T391" s="50"/>
      <c r="U391" s="50"/>
      <c r="V391" s="50"/>
      <c r="W391" s="50"/>
      <c r="X391" s="51"/>
      <c r="Y391" s="50"/>
      <c r="Z391" s="30"/>
      <c r="AA391" s="104"/>
      <c r="AB391" s="10"/>
      <c r="AC391" s="60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8"/>
      <c r="BC391" s="147"/>
      <c r="BD391" s="54"/>
      <c r="BE391" s="32"/>
    </row>
    <row r="392" spans="1:57" x14ac:dyDescent="0.3">
      <c r="A392" s="241" t="str">
        <f t="shared" si="7"/>
        <v/>
      </c>
      <c r="B392" s="323"/>
      <c r="C392" s="324"/>
      <c r="D392" s="325"/>
      <c r="E392" s="349"/>
      <c r="F392" s="347"/>
      <c r="G392" s="30"/>
      <c r="H392" s="30"/>
      <c r="I392" s="30"/>
      <c r="J392" s="30"/>
      <c r="K392" s="30"/>
      <c r="L392" s="30"/>
      <c r="M392" s="30"/>
      <c r="N392" s="30"/>
      <c r="O392" s="154"/>
      <c r="P392" s="154"/>
      <c r="Q392" s="50"/>
      <c r="R392" s="50"/>
      <c r="S392" s="50"/>
      <c r="T392" s="50"/>
      <c r="U392" s="50"/>
      <c r="V392" s="50"/>
      <c r="W392" s="50"/>
      <c r="X392" s="51"/>
      <c r="Y392" s="50"/>
      <c r="Z392" s="30"/>
      <c r="AA392" s="104"/>
      <c r="AB392" s="10"/>
      <c r="AC392" s="60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8"/>
      <c r="BC392" s="147"/>
      <c r="BD392" s="54"/>
      <c r="BE392" s="32"/>
    </row>
    <row r="393" spans="1:57" x14ac:dyDescent="0.3">
      <c r="A393" s="241" t="str">
        <f t="shared" si="7"/>
        <v/>
      </c>
      <c r="B393" s="323"/>
      <c r="C393" s="324"/>
      <c r="D393" s="325"/>
      <c r="E393" s="349"/>
      <c r="F393" s="347"/>
      <c r="G393" s="30"/>
      <c r="H393" s="30"/>
      <c r="I393" s="30"/>
      <c r="J393" s="30"/>
      <c r="K393" s="30"/>
      <c r="L393" s="30"/>
      <c r="M393" s="30"/>
      <c r="N393" s="30"/>
      <c r="O393" s="154"/>
      <c r="P393" s="154"/>
      <c r="Q393" s="50"/>
      <c r="R393" s="50"/>
      <c r="S393" s="50"/>
      <c r="T393" s="50"/>
      <c r="U393" s="50"/>
      <c r="V393" s="50"/>
      <c r="W393" s="50"/>
      <c r="X393" s="51"/>
      <c r="Y393" s="50"/>
      <c r="Z393" s="30"/>
      <c r="AA393" s="104"/>
      <c r="AB393" s="10"/>
      <c r="AC393" s="60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8"/>
      <c r="BC393" s="147"/>
      <c r="BD393" s="54"/>
      <c r="BE393" s="32"/>
    </row>
    <row r="394" spans="1:57" x14ac:dyDescent="0.3">
      <c r="A394" s="241" t="str">
        <f t="shared" si="7"/>
        <v/>
      </c>
      <c r="B394" s="323"/>
      <c r="C394" s="324"/>
      <c r="D394" s="325"/>
      <c r="E394" s="349"/>
      <c r="F394" s="347"/>
      <c r="G394" s="30"/>
      <c r="H394" s="30"/>
      <c r="I394" s="30"/>
      <c r="J394" s="30"/>
      <c r="K394" s="30"/>
      <c r="L394" s="30"/>
      <c r="M394" s="30"/>
      <c r="N394" s="30"/>
      <c r="O394" s="154"/>
      <c r="P394" s="154"/>
      <c r="Q394" s="50"/>
      <c r="R394" s="50"/>
      <c r="S394" s="50"/>
      <c r="T394" s="50"/>
      <c r="U394" s="50"/>
      <c r="V394" s="50"/>
      <c r="W394" s="50"/>
      <c r="X394" s="51"/>
      <c r="Y394" s="50"/>
      <c r="Z394" s="30"/>
      <c r="AA394" s="104"/>
      <c r="AB394" s="10"/>
      <c r="AC394" s="60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8"/>
      <c r="BC394" s="147"/>
      <c r="BD394" s="54"/>
      <c r="BE394" s="32"/>
    </row>
    <row r="395" spans="1:57" x14ac:dyDescent="0.3">
      <c r="A395" s="241" t="str">
        <f t="shared" si="7"/>
        <v/>
      </c>
      <c r="B395" s="323"/>
      <c r="C395" s="324"/>
      <c r="D395" s="325"/>
      <c r="E395" s="349"/>
      <c r="F395" s="347"/>
      <c r="G395" s="30"/>
      <c r="H395" s="30"/>
      <c r="I395" s="30"/>
      <c r="J395" s="30"/>
      <c r="K395" s="30"/>
      <c r="L395" s="30"/>
      <c r="M395" s="30"/>
      <c r="N395" s="30"/>
      <c r="O395" s="154"/>
      <c r="P395" s="154"/>
      <c r="Q395" s="50"/>
      <c r="R395" s="50"/>
      <c r="S395" s="50"/>
      <c r="T395" s="50"/>
      <c r="U395" s="50"/>
      <c r="V395" s="50"/>
      <c r="W395" s="50"/>
      <c r="X395" s="51"/>
      <c r="Y395" s="50"/>
      <c r="Z395" s="30"/>
      <c r="AA395" s="104"/>
      <c r="AB395" s="10"/>
      <c r="AC395" s="60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8"/>
      <c r="BC395" s="147"/>
      <c r="BD395" s="54"/>
      <c r="BE395" s="32"/>
    </row>
    <row r="396" spans="1:57" x14ac:dyDescent="0.3">
      <c r="A396" s="241" t="str">
        <f t="shared" si="7"/>
        <v/>
      </c>
      <c r="B396" s="323"/>
      <c r="C396" s="324"/>
      <c r="D396" s="325"/>
      <c r="E396" s="349"/>
      <c r="F396" s="347"/>
      <c r="G396" s="30"/>
      <c r="H396" s="30"/>
      <c r="I396" s="30"/>
      <c r="J396" s="30"/>
      <c r="K396" s="30"/>
      <c r="L396" s="30"/>
      <c r="M396" s="30"/>
      <c r="N396" s="30"/>
      <c r="O396" s="154"/>
      <c r="P396" s="154"/>
      <c r="Q396" s="50"/>
      <c r="R396" s="50"/>
      <c r="S396" s="50"/>
      <c r="T396" s="50"/>
      <c r="U396" s="50"/>
      <c r="V396" s="50"/>
      <c r="W396" s="50"/>
      <c r="X396" s="51"/>
      <c r="Y396" s="50"/>
      <c r="Z396" s="30"/>
      <c r="AA396" s="104"/>
      <c r="AB396" s="10"/>
      <c r="AC396" s="60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8"/>
      <c r="BC396" s="147"/>
      <c r="BD396" s="54"/>
      <c r="BE396" s="32"/>
    </row>
    <row r="397" spans="1:57" x14ac:dyDescent="0.3">
      <c r="A397" s="241" t="str">
        <f t="shared" si="7"/>
        <v/>
      </c>
      <c r="B397" s="323"/>
      <c r="C397" s="324"/>
      <c r="D397" s="325"/>
      <c r="E397" s="349"/>
      <c r="F397" s="347"/>
      <c r="G397" s="30"/>
      <c r="H397" s="30"/>
      <c r="I397" s="30"/>
      <c r="J397" s="30"/>
      <c r="K397" s="30"/>
      <c r="L397" s="30"/>
      <c r="M397" s="30"/>
      <c r="N397" s="30"/>
      <c r="O397" s="154"/>
      <c r="P397" s="154"/>
      <c r="Q397" s="50"/>
      <c r="R397" s="50"/>
      <c r="S397" s="50"/>
      <c r="T397" s="50"/>
      <c r="U397" s="50"/>
      <c r="V397" s="50"/>
      <c r="W397" s="50"/>
      <c r="X397" s="51"/>
      <c r="Y397" s="50"/>
      <c r="Z397" s="30"/>
      <c r="AA397" s="104"/>
      <c r="AB397" s="10"/>
      <c r="AC397" s="60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8"/>
      <c r="BC397" s="147"/>
      <c r="BD397" s="54"/>
      <c r="BE397" s="32"/>
    </row>
    <row r="398" spans="1:57" x14ac:dyDescent="0.3">
      <c r="A398" s="241" t="str">
        <f t="shared" si="7"/>
        <v/>
      </c>
      <c r="B398" s="323"/>
      <c r="C398" s="324"/>
      <c r="D398" s="325"/>
      <c r="E398" s="349"/>
      <c r="F398" s="347"/>
      <c r="G398" s="30"/>
      <c r="H398" s="30"/>
      <c r="I398" s="30"/>
      <c r="J398" s="30"/>
      <c r="K398" s="30"/>
      <c r="L398" s="30"/>
      <c r="M398" s="30"/>
      <c r="N398" s="30"/>
      <c r="O398" s="154"/>
      <c r="P398" s="154"/>
      <c r="Q398" s="50"/>
      <c r="R398" s="50"/>
      <c r="S398" s="50"/>
      <c r="T398" s="50"/>
      <c r="U398" s="50"/>
      <c r="V398" s="50"/>
      <c r="W398" s="50"/>
      <c r="X398" s="51"/>
      <c r="Y398" s="50"/>
      <c r="Z398" s="30"/>
      <c r="AA398" s="104"/>
      <c r="AB398" s="10"/>
      <c r="AC398" s="60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8"/>
      <c r="BC398" s="147"/>
      <c r="BD398" s="54"/>
      <c r="BE398" s="32"/>
    </row>
    <row r="399" spans="1:57" x14ac:dyDescent="0.3">
      <c r="A399" s="241" t="str">
        <f t="shared" si="7"/>
        <v/>
      </c>
      <c r="B399" s="323"/>
      <c r="C399" s="324"/>
      <c r="D399" s="325"/>
      <c r="E399" s="349"/>
      <c r="F399" s="347"/>
      <c r="G399" s="30"/>
      <c r="H399" s="30"/>
      <c r="I399" s="30"/>
      <c r="J399" s="30"/>
      <c r="K399" s="30"/>
      <c r="L399" s="30"/>
      <c r="M399" s="30"/>
      <c r="N399" s="30"/>
      <c r="O399" s="154"/>
      <c r="P399" s="154"/>
      <c r="Q399" s="50"/>
      <c r="R399" s="50"/>
      <c r="S399" s="50"/>
      <c r="T399" s="50"/>
      <c r="U399" s="50"/>
      <c r="V399" s="50"/>
      <c r="W399" s="50"/>
      <c r="X399" s="51"/>
      <c r="Y399" s="50"/>
      <c r="Z399" s="30"/>
      <c r="AA399" s="104"/>
      <c r="AB399" s="10"/>
      <c r="AC399" s="60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8"/>
      <c r="BC399" s="147"/>
      <c r="BD399" s="54"/>
      <c r="BE399" s="32"/>
    </row>
    <row r="400" spans="1:57" x14ac:dyDescent="0.3">
      <c r="A400" s="241" t="str">
        <f t="shared" si="7"/>
        <v/>
      </c>
      <c r="B400" s="323"/>
      <c r="C400" s="324"/>
      <c r="D400" s="325"/>
      <c r="E400" s="349"/>
      <c r="F400" s="347"/>
      <c r="G400" s="30"/>
      <c r="H400" s="30"/>
      <c r="I400" s="30"/>
      <c r="J400" s="30"/>
      <c r="K400" s="30"/>
      <c r="L400" s="30"/>
      <c r="M400" s="30"/>
      <c r="N400" s="30"/>
      <c r="O400" s="154"/>
      <c r="P400" s="154"/>
      <c r="Q400" s="50"/>
      <c r="R400" s="50"/>
      <c r="S400" s="50"/>
      <c r="T400" s="50"/>
      <c r="U400" s="50"/>
      <c r="V400" s="50"/>
      <c r="W400" s="50"/>
      <c r="X400" s="51"/>
      <c r="Y400" s="50"/>
      <c r="Z400" s="30"/>
      <c r="AA400" s="104"/>
      <c r="AB400" s="10"/>
      <c r="AC400" s="60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8"/>
      <c r="BC400" s="147"/>
      <c r="BD400" s="54"/>
      <c r="BE400" s="32"/>
    </row>
    <row r="401" spans="1:57" x14ac:dyDescent="0.3">
      <c r="A401" s="241" t="str">
        <f t="shared" si="7"/>
        <v/>
      </c>
      <c r="B401" s="323"/>
      <c r="C401" s="324"/>
      <c r="D401" s="325"/>
      <c r="E401" s="349"/>
      <c r="F401" s="347"/>
      <c r="G401" s="30"/>
      <c r="H401" s="30"/>
      <c r="I401" s="30"/>
      <c r="J401" s="30"/>
      <c r="K401" s="30"/>
      <c r="L401" s="30"/>
      <c r="M401" s="30"/>
      <c r="N401" s="30"/>
      <c r="O401" s="154"/>
      <c r="P401" s="154"/>
      <c r="Q401" s="50"/>
      <c r="R401" s="50"/>
      <c r="S401" s="50"/>
      <c r="T401" s="50"/>
      <c r="U401" s="50"/>
      <c r="V401" s="50"/>
      <c r="W401" s="50"/>
      <c r="X401" s="51"/>
      <c r="Y401" s="50"/>
      <c r="Z401" s="30"/>
      <c r="AA401" s="104"/>
      <c r="AB401" s="10"/>
      <c r="AC401" s="60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8"/>
      <c r="BC401" s="147"/>
      <c r="BD401" s="54"/>
      <c r="BE401" s="32"/>
    </row>
    <row r="402" spans="1:57" x14ac:dyDescent="0.3">
      <c r="A402" s="241" t="str">
        <f t="shared" si="7"/>
        <v/>
      </c>
      <c r="B402" s="323"/>
      <c r="C402" s="324"/>
      <c r="D402" s="325"/>
      <c r="E402" s="349"/>
      <c r="F402" s="347"/>
      <c r="G402" s="30"/>
      <c r="H402" s="30"/>
      <c r="I402" s="30"/>
      <c r="J402" s="30"/>
      <c r="K402" s="30"/>
      <c r="L402" s="30"/>
      <c r="M402" s="30"/>
      <c r="N402" s="30"/>
      <c r="O402" s="154"/>
      <c r="P402" s="154"/>
      <c r="Q402" s="50"/>
      <c r="R402" s="50"/>
      <c r="S402" s="50"/>
      <c r="T402" s="50"/>
      <c r="U402" s="50"/>
      <c r="V402" s="50"/>
      <c r="W402" s="50"/>
      <c r="X402" s="51"/>
      <c r="Y402" s="50"/>
      <c r="Z402" s="30"/>
      <c r="AA402" s="104"/>
      <c r="AB402" s="10"/>
      <c r="AC402" s="60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8"/>
      <c r="BC402" s="147"/>
      <c r="BD402" s="54"/>
      <c r="BE402" s="32"/>
    </row>
    <row r="403" spans="1:57" x14ac:dyDescent="0.3">
      <c r="A403" s="241" t="str">
        <f t="shared" si="7"/>
        <v/>
      </c>
      <c r="B403" s="323"/>
      <c r="C403" s="324"/>
      <c r="D403" s="325"/>
      <c r="E403" s="349"/>
      <c r="F403" s="347"/>
      <c r="G403" s="30"/>
      <c r="H403" s="30"/>
      <c r="I403" s="30"/>
      <c r="J403" s="30"/>
      <c r="K403" s="30"/>
      <c r="L403" s="30"/>
      <c r="M403" s="30"/>
      <c r="N403" s="30"/>
      <c r="O403" s="154"/>
      <c r="P403" s="154"/>
      <c r="Q403" s="50"/>
      <c r="R403" s="50"/>
      <c r="S403" s="50"/>
      <c r="T403" s="50"/>
      <c r="U403" s="50"/>
      <c r="V403" s="50"/>
      <c r="W403" s="50"/>
      <c r="X403" s="51"/>
      <c r="Y403" s="50"/>
      <c r="Z403" s="30"/>
      <c r="AA403" s="104"/>
      <c r="AB403" s="10"/>
      <c r="AC403" s="60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8"/>
      <c r="BC403" s="147"/>
      <c r="BD403" s="54"/>
      <c r="BE403" s="32"/>
    </row>
    <row r="404" spans="1:57" x14ac:dyDescent="0.3">
      <c r="A404" s="241" t="str">
        <f t="shared" si="7"/>
        <v/>
      </c>
      <c r="B404" s="323"/>
      <c r="C404" s="324"/>
      <c r="D404" s="325"/>
      <c r="E404" s="349"/>
      <c r="F404" s="347"/>
      <c r="G404" s="30"/>
      <c r="H404" s="30"/>
      <c r="I404" s="30"/>
      <c r="J404" s="30"/>
      <c r="K404" s="30"/>
      <c r="L404" s="30"/>
      <c r="M404" s="30"/>
      <c r="N404" s="30"/>
      <c r="O404" s="154"/>
      <c r="P404" s="154"/>
      <c r="Q404" s="50"/>
      <c r="R404" s="50"/>
      <c r="S404" s="50"/>
      <c r="T404" s="50"/>
      <c r="U404" s="50"/>
      <c r="V404" s="50"/>
      <c r="W404" s="50"/>
      <c r="X404" s="51"/>
      <c r="Y404" s="50"/>
      <c r="Z404" s="30"/>
      <c r="AA404" s="104"/>
      <c r="AB404" s="10"/>
      <c r="AC404" s="60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8"/>
      <c r="BC404" s="147"/>
      <c r="BD404" s="54"/>
      <c r="BE404" s="32"/>
    </row>
    <row r="405" spans="1:57" x14ac:dyDescent="0.3">
      <c r="A405" s="241" t="str">
        <f t="shared" ref="A405:A468" si="8">CONCATENATE(B405,C405)</f>
        <v/>
      </c>
      <c r="B405" s="323"/>
      <c r="C405" s="324"/>
      <c r="D405" s="325"/>
      <c r="E405" s="349"/>
      <c r="F405" s="347"/>
      <c r="G405" s="30"/>
      <c r="H405" s="30"/>
      <c r="I405" s="30"/>
      <c r="J405" s="30"/>
      <c r="K405" s="30"/>
      <c r="L405" s="30"/>
      <c r="M405" s="30"/>
      <c r="N405" s="30"/>
      <c r="O405" s="154"/>
      <c r="P405" s="154"/>
      <c r="Q405" s="50"/>
      <c r="R405" s="50"/>
      <c r="S405" s="50"/>
      <c r="T405" s="50"/>
      <c r="U405" s="50"/>
      <c r="V405" s="50"/>
      <c r="W405" s="50"/>
      <c r="X405" s="51"/>
      <c r="Y405" s="50"/>
      <c r="Z405" s="30"/>
      <c r="AA405" s="104"/>
      <c r="AB405" s="10"/>
      <c r="AC405" s="60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8"/>
      <c r="BC405" s="147"/>
      <c r="BD405" s="54"/>
      <c r="BE405" s="32"/>
    </row>
    <row r="406" spans="1:57" x14ac:dyDescent="0.3">
      <c r="A406" s="241" t="str">
        <f t="shared" si="8"/>
        <v/>
      </c>
      <c r="B406" s="323"/>
      <c r="C406" s="324"/>
      <c r="D406" s="325"/>
      <c r="E406" s="349"/>
      <c r="F406" s="347"/>
      <c r="G406" s="30"/>
      <c r="H406" s="30"/>
      <c r="I406" s="30"/>
      <c r="J406" s="30"/>
      <c r="K406" s="30"/>
      <c r="L406" s="30"/>
      <c r="M406" s="30"/>
      <c r="N406" s="30"/>
      <c r="O406" s="154"/>
      <c r="P406" s="154"/>
      <c r="Q406" s="50"/>
      <c r="R406" s="50"/>
      <c r="S406" s="50"/>
      <c r="T406" s="50"/>
      <c r="U406" s="50"/>
      <c r="V406" s="50"/>
      <c r="W406" s="50"/>
      <c r="X406" s="51"/>
      <c r="Y406" s="50"/>
      <c r="Z406" s="30"/>
      <c r="AA406" s="104"/>
      <c r="AB406" s="10"/>
      <c r="AC406" s="60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8"/>
      <c r="BC406" s="147"/>
      <c r="BD406" s="54"/>
      <c r="BE406" s="32"/>
    </row>
    <row r="407" spans="1:57" x14ac:dyDescent="0.3">
      <c r="A407" s="241" t="str">
        <f t="shared" si="8"/>
        <v/>
      </c>
      <c r="B407" s="323"/>
      <c r="C407" s="324"/>
      <c r="D407" s="325"/>
      <c r="E407" s="349"/>
      <c r="F407" s="347"/>
      <c r="G407" s="30"/>
      <c r="H407" s="30"/>
      <c r="I407" s="30"/>
      <c r="J407" s="30"/>
      <c r="K407" s="30"/>
      <c r="L407" s="30"/>
      <c r="M407" s="30"/>
      <c r="N407" s="30"/>
      <c r="O407" s="154"/>
      <c r="P407" s="154"/>
      <c r="Q407" s="50"/>
      <c r="R407" s="50"/>
      <c r="S407" s="50"/>
      <c r="T407" s="50"/>
      <c r="U407" s="50"/>
      <c r="V407" s="50"/>
      <c r="W407" s="50"/>
      <c r="X407" s="51"/>
      <c r="Y407" s="50"/>
      <c r="Z407" s="30"/>
      <c r="AA407" s="104"/>
      <c r="AB407" s="10"/>
      <c r="AC407" s="60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8"/>
      <c r="BC407" s="147"/>
      <c r="BD407" s="54"/>
      <c r="BE407" s="32"/>
    </row>
    <row r="408" spans="1:57" x14ac:dyDescent="0.3">
      <c r="A408" s="241" t="str">
        <f t="shared" si="8"/>
        <v/>
      </c>
      <c r="B408" s="323"/>
      <c r="C408" s="324"/>
      <c r="D408" s="325"/>
      <c r="E408" s="349"/>
      <c r="F408" s="347"/>
      <c r="G408" s="30"/>
      <c r="H408" s="30"/>
      <c r="I408" s="30"/>
      <c r="J408" s="30"/>
      <c r="K408" s="30"/>
      <c r="L408" s="30"/>
      <c r="M408" s="30"/>
      <c r="N408" s="30"/>
      <c r="O408" s="154"/>
      <c r="P408" s="154"/>
      <c r="Q408" s="50"/>
      <c r="R408" s="50"/>
      <c r="S408" s="50"/>
      <c r="T408" s="50"/>
      <c r="U408" s="50"/>
      <c r="V408" s="50"/>
      <c r="W408" s="50"/>
      <c r="X408" s="51"/>
      <c r="Y408" s="50"/>
      <c r="Z408" s="30"/>
      <c r="AA408" s="104"/>
      <c r="AB408" s="10"/>
      <c r="AC408" s="60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8"/>
      <c r="BC408" s="147"/>
      <c r="BD408" s="54"/>
      <c r="BE408" s="32"/>
    </row>
    <row r="409" spans="1:57" x14ac:dyDescent="0.3">
      <c r="A409" s="241" t="str">
        <f t="shared" si="8"/>
        <v/>
      </c>
      <c r="B409" s="323"/>
      <c r="C409" s="324"/>
      <c r="D409" s="325"/>
      <c r="E409" s="349"/>
      <c r="F409" s="347"/>
      <c r="G409" s="30"/>
      <c r="H409" s="30"/>
      <c r="I409" s="30"/>
      <c r="J409" s="30"/>
      <c r="K409" s="30"/>
      <c r="L409" s="30"/>
      <c r="M409" s="30"/>
      <c r="N409" s="30"/>
      <c r="O409" s="154"/>
      <c r="P409" s="154"/>
      <c r="Q409" s="50"/>
      <c r="R409" s="50"/>
      <c r="S409" s="50"/>
      <c r="T409" s="50"/>
      <c r="U409" s="50"/>
      <c r="V409" s="50"/>
      <c r="W409" s="50"/>
      <c r="X409" s="51"/>
      <c r="Y409" s="50"/>
      <c r="Z409" s="30"/>
      <c r="AA409" s="104"/>
      <c r="AB409" s="10"/>
      <c r="AC409" s="60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8"/>
      <c r="BC409" s="147"/>
      <c r="BD409" s="54"/>
      <c r="BE409" s="32"/>
    </row>
    <row r="410" spans="1:57" x14ac:dyDescent="0.3">
      <c r="A410" s="241" t="str">
        <f t="shared" si="8"/>
        <v/>
      </c>
      <c r="B410" s="323"/>
      <c r="C410" s="324"/>
      <c r="D410" s="325"/>
      <c r="E410" s="349"/>
      <c r="F410" s="347"/>
      <c r="G410" s="30"/>
      <c r="H410" s="30"/>
      <c r="I410" s="30"/>
      <c r="J410" s="30"/>
      <c r="K410" s="30"/>
      <c r="L410" s="30"/>
      <c r="M410" s="30"/>
      <c r="N410" s="30"/>
      <c r="O410" s="154"/>
      <c r="P410" s="154"/>
      <c r="Q410" s="50"/>
      <c r="R410" s="50"/>
      <c r="S410" s="50"/>
      <c r="T410" s="50"/>
      <c r="U410" s="50"/>
      <c r="V410" s="50"/>
      <c r="W410" s="50"/>
      <c r="X410" s="51"/>
      <c r="Y410" s="50"/>
      <c r="Z410" s="30"/>
      <c r="AA410" s="104"/>
      <c r="AB410" s="10"/>
      <c r="AC410" s="60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8"/>
      <c r="BC410" s="147"/>
      <c r="BD410" s="54"/>
      <c r="BE410" s="32"/>
    </row>
    <row r="411" spans="1:57" x14ac:dyDescent="0.3">
      <c r="A411" s="241" t="str">
        <f t="shared" si="8"/>
        <v/>
      </c>
      <c r="B411" s="323"/>
      <c r="C411" s="324"/>
      <c r="D411" s="325"/>
      <c r="E411" s="349"/>
      <c r="F411" s="347"/>
      <c r="G411" s="30"/>
      <c r="H411" s="30"/>
      <c r="I411" s="30"/>
      <c r="J411" s="30"/>
      <c r="K411" s="30"/>
      <c r="L411" s="30"/>
      <c r="M411" s="30"/>
      <c r="N411" s="30"/>
      <c r="O411" s="154"/>
      <c r="P411" s="154"/>
      <c r="Q411" s="50"/>
      <c r="R411" s="50"/>
      <c r="S411" s="50"/>
      <c r="T411" s="50"/>
      <c r="U411" s="50"/>
      <c r="V411" s="50"/>
      <c r="W411" s="50"/>
      <c r="X411" s="51"/>
      <c r="Y411" s="50"/>
      <c r="Z411" s="30"/>
      <c r="AA411" s="104"/>
      <c r="AB411" s="10"/>
      <c r="AC411" s="60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8"/>
      <c r="BC411" s="147"/>
      <c r="BD411" s="54"/>
      <c r="BE411" s="32"/>
    </row>
    <row r="412" spans="1:57" x14ac:dyDescent="0.3">
      <c r="A412" s="241" t="str">
        <f t="shared" si="8"/>
        <v/>
      </c>
      <c r="B412" s="323"/>
      <c r="C412" s="324"/>
      <c r="D412" s="325"/>
      <c r="E412" s="349"/>
      <c r="F412" s="347"/>
      <c r="G412" s="30"/>
      <c r="H412" s="30"/>
      <c r="I412" s="30"/>
      <c r="J412" s="30"/>
      <c r="K412" s="30"/>
      <c r="L412" s="30"/>
      <c r="M412" s="30"/>
      <c r="N412" s="30"/>
      <c r="O412" s="154"/>
      <c r="P412" s="154"/>
      <c r="Q412" s="50"/>
      <c r="R412" s="50"/>
      <c r="S412" s="50"/>
      <c r="T412" s="50"/>
      <c r="U412" s="50"/>
      <c r="V412" s="50"/>
      <c r="W412" s="50"/>
      <c r="X412" s="51"/>
      <c r="Y412" s="50"/>
      <c r="Z412" s="30"/>
      <c r="AA412" s="104"/>
      <c r="AB412" s="10"/>
      <c r="AC412" s="60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8"/>
      <c r="BC412" s="147"/>
      <c r="BD412" s="54"/>
      <c r="BE412" s="32"/>
    </row>
    <row r="413" spans="1:57" x14ac:dyDescent="0.3">
      <c r="A413" s="241" t="str">
        <f t="shared" si="8"/>
        <v/>
      </c>
      <c r="B413" s="323"/>
      <c r="C413" s="324"/>
      <c r="D413" s="325"/>
      <c r="E413" s="349"/>
      <c r="F413" s="347"/>
      <c r="G413" s="30"/>
      <c r="H413" s="30"/>
      <c r="I413" s="30"/>
      <c r="J413" s="30"/>
      <c r="K413" s="30"/>
      <c r="L413" s="30"/>
      <c r="M413" s="30"/>
      <c r="N413" s="30"/>
      <c r="O413" s="154"/>
      <c r="P413" s="154"/>
      <c r="Q413" s="50"/>
      <c r="R413" s="50"/>
      <c r="S413" s="50"/>
      <c r="T413" s="50"/>
      <c r="U413" s="50"/>
      <c r="V413" s="50"/>
      <c r="W413" s="50"/>
      <c r="X413" s="51"/>
      <c r="Y413" s="50"/>
      <c r="Z413" s="30"/>
      <c r="AA413" s="104"/>
      <c r="AB413" s="10"/>
      <c r="AC413" s="60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8"/>
      <c r="BC413" s="147"/>
      <c r="BD413" s="54"/>
      <c r="BE413" s="32"/>
    </row>
    <row r="414" spans="1:57" x14ac:dyDescent="0.3">
      <c r="A414" s="241" t="str">
        <f t="shared" si="8"/>
        <v/>
      </c>
      <c r="B414" s="323"/>
      <c r="C414" s="324"/>
      <c r="D414" s="325"/>
      <c r="E414" s="349"/>
      <c r="F414" s="347"/>
      <c r="G414" s="30"/>
      <c r="H414" s="30"/>
      <c r="I414" s="30"/>
      <c r="J414" s="30"/>
      <c r="K414" s="30"/>
      <c r="L414" s="30"/>
      <c r="M414" s="30"/>
      <c r="N414" s="30"/>
      <c r="O414" s="154"/>
      <c r="P414" s="154"/>
      <c r="Q414" s="50"/>
      <c r="R414" s="50"/>
      <c r="S414" s="50"/>
      <c r="T414" s="50"/>
      <c r="U414" s="50"/>
      <c r="V414" s="50"/>
      <c r="W414" s="50"/>
      <c r="X414" s="51"/>
      <c r="Y414" s="50"/>
      <c r="Z414" s="30"/>
      <c r="AA414" s="104"/>
      <c r="AB414" s="10"/>
      <c r="AC414" s="60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8"/>
      <c r="BC414" s="147"/>
      <c r="BD414" s="54"/>
      <c r="BE414" s="32"/>
    </row>
    <row r="415" spans="1:57" x14ac:dyDescent="0.3">
      <c r="A415" s="241" t="str">
        <f t="shared" si="8"/>
        <v/>
      </c>
      <c r="B415" s="323"/>
      <c r="C415" s="324"/>
      <c r="D415" s="325"/>
      <c r="E415" s="349"/>
      <c r="F415" s="347"/>
      <c r="G415" s="30"/>
      <c r="H415" s="30"/>
      <c r="I415" s="30"/>
      <c r="J415" s="30"/>
      <c r="K415" s="30"/>
      <c r="L415" s="30"/>
      <c r="M415" s="30"/>
      <c r="N415" s="30"/>
      <c r="O415" s="154"/>
      <c r="P415" s="154"/>
      <c r="Q415" s="50"/>
      <c r="R415" s="50"/>
      <c r="S415" s="50"/>
      <c r="T415" s="50"/>
      <c r="U415" s="50"/>
      <c r="V415" s="50"/>
      <c r="W415" s="50"/>
      <c r="X415" s="51"/>
      <c r="Y415" s="50"/>
      <c r="Z415" s="30"/>
      <c r="AA415" s="104"/>
      <c r="AB415" s="10"/>
      <c r="AC415" s="60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8"/>
      <c r="BC415" s="147"/>
      <c r="BD415" s="54"/>
      <c r="BE415" s="32"/>
    </row>
    <row r="416" spans="1:57" x14ac:dyDescent="0.3">
      <c r="A416" s="241" t="str">
        <f t="shared" si="8"/>
        <v/>
      </c>
      <c r="B416" s="323"/>
      <c r="C416" s="324"/>
      <c r="D416" s="325"/>
      <c r="E416" s="349"/>
      <c r="F416" s="347"/>
      <c r="G416" s="30"/>
      <c r="H416" s="30"/>
      <c r="I416" s="30"/>
      <c r="J416" s="30"/>
      <c r="K416" s="30"/>
      <c r="L416" s="30"/>
      <c r="M416" s="30"/>
      <c r="N416" s="30"/>
      <c r="O416" s="154"/>
      <c r="P416" s="154"/>
      <c r="Q416" s="50"/>
      <c r="R416" s="50"/>
      <c r="S416" s="50"/>
      <c r="T416" s="50"/>
      <c r="U416" s="50"/>
      <c r="V416" s="50"/>
      <c r="W416" s="50"/>
      <c r="X416" s="51"/>
      <c r="Y416" s="50"/>
      <c r="Z416" s="30"/>
      <c r="AA416" s="104"/>
      <c r="AB416" s="10"/>
      <c r="AC416" s="60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8"/>
      <c r="BC416" s="147"/>
      <c r="BD416" s="54"/>
      <c r="BE416" s="32"/>
    </row>
    <row r="417" spans="1:57" x14ac:dyDescent="0.3">
      <c r="A417" s="241" t="str">
        <f t="shared" si="8"/>
        <v/>
      </c>
      <c r="B417" s="323"/>
      <c r="C417" s="324"/>
      <c r="D417" s="325"/>
      <c r="E417" s="349"/>
      <c r="F417" s="347"/>
      <c r="G417" s="30"/>
      <c r="H417" s="30"/>
      <c r="I417" s="30"/>
      <c r="J417" s="30"/>
      <c r="K417" s="30"/>
      <c r="L417" s="30"/>
      <c r="M417" s="30"/>
      <c r="N417" s="30"/>
      <c r="O417" s="154"/>
      <c r="P417" s="154"/>
      <c r="Q417" s="50"/>
      <c r="R417" s="50"/>
      <c r="S417" s="50"/>
      <c r="T417" s="50"/>
      <c r="U417" s="50"/>
      <c r="V417" s="50"/>
      <c r="W417" s="50"/>
      <c r="X417" s="51"/>
      <c r="Y417" s="50"/>
      <c r="Z417" s="30"/>
      <c r="AA417" s="104"/>
      <c r="AB417" s="10"/>
      <c r="AC417" s="60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8"/>
      <c r="BC417" s="147"/>
      <c r="BD417" s="54"/>
      <c r="BE417" s="32"/>
    </row>
    <row r="418" spans="1:57" x14ac:dyDescent="0.3">
      <c r="A418" s="241" t="str">
        <f t="shared" si="8"/>
        <v/>
      </c>
      <c r="B418" s="323"/>
      <c r="C418" s="324"/>
      <c r="D418" s="325"/>
      <c r="E418" s="349"/>
      <c r="F418" s="347"/>
      <c r="G418" s="30"/>
      <c r="H418" s="30"/>
      <c r="I418" s="30"/>
      <c r="J418" s="30"/>
      <c r="K418" s="30"/>
      <c r="L418" s="30"/>
      <c r="M418" s="30"/>
      <c r="N418" s="30"/>
      <c r="O418" s="154"/>
      <c r="P418" s="154"/>
      <c r="Q418" s="50"/>
      <c r="R418" s="50"/>
      <c r="S418" s="50"/>
      <c r="T418" s="50"/>
      <c r="U418" s="50"/>
      <c r="V418" s="50"/>
      <c r="W418" s="50"/>
      <c r="X418" s="51"/>
      <c r="Y418" s="50"/>
      <c r="Z418" s="30"/>
      <c r="AA418" s="104"/>
      <c r="AB418" s="10"/>
      <c r="AC418" s="60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8"/>
      <c r="BC418" s="147"/>
      <c r="BD418" s="54"/>
      <c r="BE418" s="32"/>
    </row>
    <row r="419" spans="1:57" x14ac:dyDescent="0.3">
      <c r="A419" s="241" t="str">
        <f t="shared" si="8"/>
        <v/>
      </c>
      <c r="B419" s="323"/>
      <c r="C419" s="324"/>
      <c r="D419" s="325"/>
      <c r="E419" s="349"/>
      <c r="F419" s="347"/>
      <c r="G419" s="30"/>
      <c r="H419" s="30"/>
      <c r="I419" s="30"/>
      <c r="J419" s="30"/>
      <c r="K419" s="30"/>
      <c r="L419" s="30"/>
      <c r="M419" s="30"/>
      <c r="N419" s="30"/>
      <c r="O419" s="154"/>
      <c r="P419" s="154"/>
      <c r="Q419" s="50"/>
      <c r="R419" s="50"/>
      <c r="S419" s="50"/>
      <c r="T419" s="50"/>
      <c r="U419" s="50"/>
      <c r="V419" s="50"/>
      <c r="W419" s="50"/>
      <c r="X419" s="51"/>
      <c r="Y419" s="50"/>
      <c r="Z419" s="30"/>
      <c r="AA419" s="104"/>
      <c r="AB419" s="10"/>
      <c r="AC419" s="60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8"/>
      <c r="BC419" s="147"/>
      <c r="BD419" s="54"/>
      <c r="BE419" s="32"/>
    </row>
    <row r="420" spans="1:57" x14ac:dyDescent="0.3">
      <c r="A420" s="241" t="str">
        <f t="shared" si="8"/>
        <v/>
      </c>
      <c r="B420" s="323"/>
      <c r="C420" s="324"/>
      <c r="D420" s="325"/>
      <c r="E420" s="349"/>
      <c r="F420" s="347"/>
      <c r="G420" s="30"/>
      <c r="H420" s="30"/>
      <c r="I420" s="30"/>
      <c r="J420" s="30"/>
      <c r="K420" s="30"/>
      <c r="L420" s="30"/>
      <c r="M420" s="30"/>
      <c r="N420" s="30"/>
      <c r="O420" s="154"/>
      <c r="P420" s="154"/>
      <c r="Q420" s="50"/>
      <c r="R420" s="50"/>
      <c r="S420" s="50"/>
      <c r="T420" s="50"/>
      <c r="U420" s="50"/>
      <c r="V420" s="50"/>
      <c r="W420" s="50"/>
      <c r="X420" s="51"/>
      <c r="Y420" s="50"/>
      <c r="Z420" s="30"/>
      <c r="AA420" s="104"/>
      <c r="AB420" s="10"/>
      <c r="AC420" s="60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8"/>
      <c r="BC420" s="147"/>
      <c r="BD420" s="54"/>
      <c r="BE420" s="32"/>
    </row>
    <row r="421" spans="1:57" x14ac:dyDescent="0.3">
      <c r="A421" s="241" t="str">
        <f t="shared" si="8"/>
        <v/>
      </c>
      <c r="B421" s="323"/>
      <c r="C421" s="324"/>
      <c r="D421" s="325"/>
      <c r="E421" s="349"/>
      <c r="F421" s="347"/>
      <c r="G421" s="30"/>
      <c r="H421" s="30"/>
      <c r="I421" s="30"/>
      <c r="J421" s="30"/>
      <c r="K421" s="30"/>
      <c r="L421" s="30"/>
      <c r="M421" s="30"/>
      <c r="N421" s="30"/>
      <c r="O421" s="154"/>
      <c r="P421" s="154"/>
      <c r="Q421" s="50"/>
      <c r="R421" s="50"/>
      <c r="S421" s="50"/>
      <c r="T421" s="50"/>
      <c r="U421" s="50"/>
      <c r="V421" s="50"/>
      <c r="W421" s="50"/>
      <c r="X421" s="51"/>
      <c r="Y421" s="50"/>
      <c r="Z421" s="30"/>
      <c r="AA421" s="104"/>
      <c r="AB421" s="10"/>
      <c r="AC421" s="60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8"/>
      <c r="BC421" s="147"/>
      <c r="BD421" s="54"/>
      <c r="BE421" s="32"/>
    </row>
    <row r="422" spans="1:57" x14ac:dyDescent="0.3">
      <c r="A422" s="241" t="str">
        <f t="shared" si="8"/>
        <v/>
      </c>
      <c r="B422" s="323"/>
      <c r="C422" s="324"/>
      <c r="D422" s="325"/>
      <c r="E422" s="349"/>
      <c r="F422" s="347"/>
      <c r="G422" s="30"/>
      <c r="H422" s="30"/>
      <c r="I422" s="30"/>
      <c r="J422" s="30"/>
      <c r="K422" s="30"/>
      <c r="L422" s="30"/>
      <c r="M422" s="30"/>
      <c r="N422" s="30"/>
      <c r="O422" s="154"/>
      <c r="P422" s="154"/>
      <c r="Q422" s="50"/>
      <c r="R422" s="50"/>
      <c r="S422" s="50"/>
      <c r="T422" s="50"/>
      <c r="U422" s="50"/>
      <c r="V422" s="50"/>
      <c r="W422" s="50"/>
      <c r="X422" s="51"/>
      <c r="Y422" s="50"/>
      <c r="Z422" s="30"/>
      <c r="AA422" s="104"/>
      <c r="AB422" s="10"/>
      <c r="AC422" s="60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8"/>
      <c r="BC422" s="147"/>
      <c r="BD422" s="54"/>
      <c r="BE422" s="32"/>
    </row>
    <row r="423" spans="1:57" x14ac:dyDescent="0.3">
      <c r="A423" s="241" t="str">
        <f t="shared" si="8"/>
        <v/>
      </c>
      <c r="B423" s="323"/>
      <c r="C423" s="324"/>
      <c r="D423" s="325"/>
      <c r="E423" s="349"/>
      <c r="F423" s="347"/>
      <c r="G423" s="30"/>
      <c r="H423" s="30"/>
      <c r="I423" s="30"/>
      <c r="J423" s="30"/>
      <c r="K423" s="30"/>
      <c r="L423" s="30"/>
      <c r="M423" s="30"/>
      <c r="N423" s="30"/>
      <c r="O423" s="154"/>
      <c r="P423" s="154"/>
      <c r="Q423" s="50"/>
      <c r="R423" s="50"/>
      <c r="S423" s="50"/>
      <c r="T423" s="50"/>
      <c r="U423" s="50"/>
      <c r="V423" s="50"/>
      <c r="W423" s="50"/>
      <c r="X423" s="51"/>
      <c r="Y423" s="50"/>
      <c r="Z423" s="30"/>
      <c r="AA423" s="104"/>
      <c r="AB423" s="10"/>
      <c r="AC423" s="60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8"/>
      <c r="BC423" s="147"/>
      <c r="BD423" s="54"/>
      <c r="BE423" s="32"/>
    </row>
    <row r="424" spans="1:57" x14ac:dyDescent="0.3">
      <c r="A424" s="241" t="str">
        <f t="shared" si="8"/>
        <v/>
      </c>
      <c r="B424" s="323"/>
      <c r="C424" s="324"/>
      <c r="D424" s="325"/>
      <c r="E424" s="349"/>
      <c r="F424" s="347"/>
      <c r="G424" s="30"/>
      <c r="H424" s="30"/>
      <c r="I424" s="30"/>
      <c r="J424" s="30"/>
      <c r="K424" s="30"/>
      <c r="L424" s="30"/>
      <c r="M424" s="30"/>
      <c r="N424" s="30"/>
      <c r="O424" s="154"/>
      <c r="P424" s="154"/>
      <c r="Q424" s="50"/>
      <c r="R424" s="50"/>
      <c r="S424" s="50"/>
      <c r="T424" s="50"/>
      <c r="U424" s="50"/>
      <c r="V424" s="50"/>
      <c r="W424" s="50"/>
      <c r="X424" s="51"/>
      <c r="Y424" s="50"/>
      <c r="Z424" s="30"/>
      <c r="AA424" s="104"/>
      <c r="AB424" s="10"/>
      <c r="AC424" s="60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8"/>
      <c r="BC424" s="147"/>
      <c r="BD424" s="54"/>
      <c r="BE424" s="32"/>
    </row>
    <row r="425" spans="1:57" x14ac:dyDescent="0.3">
      <c r="A425" s="241" t="str">
        <f t="shared" si="8"/>
        <v/>
      </c>
      <c r="B425" s="323"/>
      <c r="C425" s="324"/>
      <c r="D425" s="325"/>
      <c r="E425" s="349"/>
      <c r="F425" s="347"/>
      <c r="G425" s="30"/>
      <c r="H425" s="30"/>
      <c r="I425" s="30"/>
      <c r="J425" s="30"/>
      <c r="K425" s="30"/>
      <c r="L425" s="30"/>
      <c r="M425" s="30"/>
      <c r="N425" s="30"/>
      <c r="O425" s="154"/>
      <c r="P425" s="154"/>
      <c r="Q425" s="50"/>
      <c r="R425" s="50"/>
      <c r="S425" s="50"/>
      <c r="T425" s="50"/>
      <c r="U425" s="50"/>
      <c r="V425" s="50"/>
      <c r="W425" s="50"/>
      <c r="X425" s="51"/>
      <c r="Y425" s="50"/>
      <c r="Z425" s="30"/>
      <c r="AA425" s="104"/>
      <c r="AB425" s="10"/>
      <c r="AC425" s="60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8"/>
      <c r="BC425" s="147"/>
      <c r="BD425" s="54"/>
      <c r="BE425" s="32"/>
    </row>
    <row r="426" spans="1:57" x14ac:dyDescent="0.3">
      <c r="A426" s="241" t="str">
        <f t="shared" si="8"/>
        <v/>
      </c>
      <c r="B426" s="323"/>
      <c r="C426" s="324"/>
      <c r="D426" s="325"/>
      <c r="E426" s="349"/>
      <c r="F426" s="347"/>
      <c r="G426" s="30"/>
      <c r="H426" s="30"/>
      <c r="I426" s="30"/>
      <c r="J426" s="30"/>
      <c r="K426" s="30"/>
      <c r="L426" s="30"/>
      <c r="M426" s="30"/>
      <c r="N426" s="30"/>
      <c r="O426" s="154"/>
      <c r="P426" s="154"/>
      <c r="Q426" s="50"/>
      <c r="R426" s="50"/>
      <c r="S426" s="50"/>
      <c r="T426" s="50"/>
      <c r="U426" s="50"/>
      <c r="V426" s="50"/>
      <c r="W426" s="50"/>
      <c r="X426" s="51"/>
      <c r="Y426" s="50"/>
      <c r="Z426" s="30"/>
      <c r="AA426" s="104"/>
      <c r="AB426" s="10"/>
      <c r="AC426" s="60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8"/>
      <c r="BC426" s="147"/>
      <c r="BD426" s="54"/>
      <c r="BE426" s="32"/>
    </row>
    <row r="427" spans="1:57" x14ac:dyDescent="0.3">
      <c r="A427" s="241" t="str">
        <f t="shared" si="8"/>
        <v/>
      </c>
      <c r="B427" s="323"/>
      <c r="C427" s="324"/>
      <c r="D427" s="325"/>
      <c r="E427" s="349"/>
      <c r="F427" s="347"/>
      <c r="G427" s="30"/>
      <c r="H427" s="30"/>
      <c r="I427" s="30"/>
      <c r="J427" s="30"/>
      <c r="K427" s="30"/>
      <c r="L427" s="30"/>
      <c r="M427" s="30"/>
      <c r="N427" s="30"/>
      <c r="O427" s="154"/>
      <c r="P427" s="154"/>
      <c r="Q427" s="50"/>
      <c r="R427" s="50"/>
      <c r="S427" s="50"/>
      <c r="T427" s="50"/>
      <c r="U427" s="50"/>
      <c r="V427" s="50"/>
      <c r="W427" s="50"/>
      <c r="X427" s="51"/>
      <c r="Y427" s="50"/>
      <c r="Z427" s="30"/>
      <c r="AA427" s="104"/>
      <c r="AB427" s="10"/>
      <c r="AC427" s="60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8"/>
      <c r="BC427" s="147"/>
      <c r="BD427" s="54"/>
      <c r="BE427" s="32"/>
    </row>
    <row r="428" spans="1:57" x14ac:dyDescent="0.3">
      <c r="A428" s="241" t="str">
        <f t="shared" si="8"/>
        <v/>
      </c>
      <c r="B428" s="323"/>
      <c r="C428" s="324"/>
      <c r="D428" s="325"/>
      <c r="E428" s="349"/>
      <c r="F428" s="347"/>
      <c r="G428" s="30"/>
      <c r="H428" s="30"/>
      <c r="I428" s="30"/>
      <c r="J428" s="30"/>
      <c r="K428" s="30"/>
      <c r="L428" s="30"/>
      <c r="M428" s="30"/>
      <c r="N428" s="30"/>
      <c r="O428" s="154"/>
      <c r="P428" s="154"/>
      <c r="Q428" s="50"/>
      <c r="R428" s="50"/>
      <c r="S428" s="50"/>
      <c r="T428" s="50"/>
      <c r="U428" s="50"/>
      <c r="V428" s="50"/>
      <c r="W428" s="50"/>
      <c r="X428" s="51"/>
      <c r="Y428" s="50"/>
      <c r="Z428" s="30"/>
      <c r="AA428" s="104"/>
      <c r="AB428" s="10"/>
      <c r="AC428" s="60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8"/>
      <c r="BC428" s="147"/>
      <c r="BD428" s="54"/>
      <c r="BE428" s="32"/>
    </row>
    <row r="429" spans="1:57" x14ac:dyDescent="0.3">
      <c r="A429" s="241" t="str">
        <f t="shared" si="8"/>
        <v/>
      </c>
      <c r="B429" s="323"/>
      <c r="C429" s="324"/>
      <c r="D429" s="325"/>
      <c r="E429" s="349"/>
      <c r="F429" s="347"/>
      <c r="G429" s="30"/>
      <c r="H429" s="30"/>
      <c r="I429" s="30"/>
      <c r="J429" s="30"/>
      <c r="K429" s="30"/>
      <c r="L429" s="30"/>
      <c r="M429" s="30"/>
      <c r="N429" s="30"/>
      <c r="O429" s="154"/>
      <c r="P429" s="154"/>
      <c r="Q429" s="50"/>
      <c r="R429" s="50"/>
      <c r="S429" s="50"/>
      <c r="T429" s="50"/>
      <c r="U429" s="50"/>
      <c r="V429" s="50"/>
      <c r="W429" s="50"/>
      <c r="X429" s="51"/>
      <c r="Y429" s="50"/>
      <c r="Z429" s="30"/>
      <c r="AA429" s="104"/>
      <c r="AB429" s="10"/>
      <c r="AC429" s="60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8"/>
      <c r="BC429" s="147"/>
      <c r="BD429" s="54"/>
      <c r="BE429" s="32"/>
    </row>
    <row r="430" spans="1:57" x14ac:dyDescent="0.3">
      <c r="A430" s="241" t="str">
        <f t="shared" si="8"/>
        <v/>
      </c>
      <c r="B430" s="323"/>
      <c r="C430" s="324"/>
      <c r="D430" s="325"/>
      <c r="E430" s="349"/>
      <c r="F430" s="347"/>
      <c r="G430" s="30"/>
      <c r="H430" s="30"/>
      <c r="I430" s="30"/>
      <c r="J430" s="30"/>
      <c r="K430" s="30"/>
      <c r="L430" s="30"/>
      <c r="M430" s="30"/>
      <c r="N430" s="30"/>
      <c r="O430" s="154"/>
      <c r="P430" s="154"/>
      <c r="Q430" s="50"/>
      <c r="R430" s="50"/>
      <c r="S430" s="50"/>
      <c r="T430" s="50"/>
      <c r="U430" s="50"/>
      <c r="V430" s="50"/>
      <c r="W430" s="50"/>
      <c r="X430" s="51"/>
      <c r="Y430" s="50"/>
      <c r="Z430" s="30"/>
      <c r="AA430" s="104"/>
      <c r="AB430" s="10"/>
      <c r="AC430" s="60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8"/>
      <c r="BC430" s="147"/>
      <c r="BD430" s="54"/>
      <c r="BE430" s="32"/>
    </row>
    <row r="431" spans="1:57" x14ac:dyDescent="0.3">
      <c r="A431" s="241" t="str">
        <f t="shared" si="8"/>
        <v/>
      </c>
      <c r="B431" s="323"/>
      <c r="C431" s="324"/>
      <c r="D431" s="325"/>
      <c r="E431" s="349"/>
      <c r="F431" s="347"/>
      <c r="G431" s="30"/>
      <c r="H431" s="30"/>
      <c r="I431" s="30"/>
      <c r="J431" s="30"/>
      <c r="K431" s="30"/>
      <c r="L431" s="30"/>
      <c r="M431" s="30"/>
      <c r="N431" s="30"/>
      <c r="O431" s="154"/>
      <c r="P431" s="154"/>
      <c r="Q431" s="50"/>
      <c r="R431" s="50"/>
      <c r="S431" s="50"/>
      <c r="T431" s="50"/>
      <c r="U431" s="50"/>
      <c r="V431" s="50"/>
      <c r="W431" s="50"/>
      <c r="X431" s="51"/>
      <c r="Y431" s="50"/>
      <c r="Z431" s="30"/>
      <c r="AA431" s="104"/>
      <c r="AB431" s="10"/>
      <c r="AC431" s="60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8"/>
      <c r="BC431" s="147"/>
      <c r="BD431" s="54"/>
      <c r="BE431" s="32"/>
    </row>
    <row r="432" spans="1:57" x14ac:dyDescent="0.3">
      <c r="A432" s="241" t="str">
        <f t="shared" si="8"/>
        <v/>
      </c>
      <c r="B432" s="323"/>
      <c r="C432" s="324"/>
      <c r="D432" s="325"/>
      <c r="E432" s="349"/>
      <c r="F432" s="347"/>
      <c r="G432" s="30"/>
      <c r="H432" s="30"/>
      <c r="I432" s="30"/>
      <c r="J432" s="30"/>
      <c r="K432" s="30"/>
      <c r="L432" s="30"/>
      <c r="M432" s="30"/>
      <c r="N432" s="30"/>
      <c r="O432" s="154"/>
      <c r="P432" s="154"/>
      <c r="Q432" s="50"/>
      <c r="R432" s="50"/>
      <c r="S432" s="50"/>
      <c r="T432" s="50"/>
      <c r="U432" s="50"/>
      <c r="V432" s="50"/>
      <c r="W432" s="50"/>
      <c r="X432" s="51"/>
      <c r="Y432" s="50"/>
      <c r="Z432" s="30"/>
      <c r="AA432" s="104"/>
      <c r="AB432" s="10"/>
      <c r="AC432" s="60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8"/>
      <c r="BC432" s="147"/>
      <c r="BD432" s="54"/>
      <c r="BE432" s="32"/>
    </row>
    <row r="433" spans="1:57" x14ac:dyDescent="0.3">
      <c r="A433" s="241" t="str">
        <f t="shared" si="8"/>
        <v/>
      </c>
      <c r="B433" s="323"/>
      <c r="C433" s="324"/>
      <c r="D433" s="325"/>
      <c r="E433" s="349"/>
      <c r="F433" s="347"/>
      <c r="G433" s="30"/>
      <c r="H433" s="30"/>
      <c r="I433" s="30"/>
      <c r="J433" s="30"/>
      <c r="K433" s="30"/>
      <c r="L433" s="30"/>
      <c r="M433" s="30"/>
      <c r="N433" s="30"/>
      <c r="O433" s="154"/>
      <c r="P433" s="154"/>
      <c r="Q433" s="50"/>
      <c r="R433" s="50"/>
      <c r="S433" s="50"/>
      <c r="T433" s="50"/>
      <c r="U433" s="50"/>
      <c r="V433" s="50"/>
      <c r="W433" s="50"/>
      <c r="X433" s="51"/>
      <c r="Y433" s="50"/>
      <c r="Z433" s="30"/>
      <c r="AA433" s="104"/>
      <c r="AB433" s="10"/>
      <c r="AC433" s="60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8"/>
      <c r="BC433" s="147"/>
      <c r="BD433" s="54"/>
      <c r="BE433" s="32"/>
    </row>
    <row r="434" spans="1:57" x14ac:dyDescent="0.3">
      <c r="A434" s="241" t="str">
        <f t="shared" si="8"/>
        <v/>
      </c>
      <c r="B434" s="323"/>
      <c r="C434" s="324"/>
      <c r="D434" s="325"/>
      <c r="E434" s="349"/>
      <c r="F434" s="347"/>
      <c r="G434" s="30"/>
      <c r="H434" s="30"/>
      <c r="I434" s="30"/>
      <c r="J434" s="30"/>
      <c r="K434" s="30"/>
      <c r="L434" s="30"/>
      <c r="M434" s="30"/>
      <c r="N434" s="30"/>
      <c r="O434" s="154"/>
      <c r="P434" s="154"/>
      <c r="Q434" s="50"/>
      <c r="R434" s="50"/>
      <c r="S434" s="50"/>
      <c r="T434" s="50"/>
      <c r="U434" s="50"/>
      <c r="V434" s="50"/>
      <c r="W434" s="50"/>
      <c r="X434" s="51"/>
      <c r="Y434" s="50"/>
      <c r="Z434" s="30"/>
      <c r="AA434" s="104"/>
      <c r="AB434" s="10"/>
      <c r="AC434" s="60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8"/>
      <c r="BC434" s="147"/>
      <c r="BD434" s="54"/>
      <c r="BE434" s="32"/>
    </row>
    <row r="435" spans="1:57" x14ac:dyDescent="0.3">
      <c r="A435" s="241" t="str">
        <f t="shared" si="8"/>
        <v/>
      </c>
      <c r="B435" s="323"/>
      <c r="C435" s="324"/>
      <c r="D435" s="325"/>
      <c r="E435" s="349"/>
      <c r="F435" s="347"/>
      <c r="G435" s="30"/>
      <c r="H435" s="30"/>
      <c r="I435" s="30"/>
      <c r="J435" s="30"/>
      <c r="K435" s="30"/>
      <c r="L435" s="30"/>
      <c r="M435" s="30"/>
      <c r="N435" s="30"/>
      <c r="O435" s="154"/>
      <c r="P435" s="154"/>
      <c r="Q435" s="50"/>
      <c r="R435" s="50"/>
      <c r="S435" s="50"/>
      <c r="T435" s="50"/>
      <c r="U435" s="50"/>
      <c r="V435" s="50"/>
      <c r="W435" s="50"/>
      <c r="X435" s="51"/>
      <c r="Y435" s="50"/>
      <c r="Z435" s="30"/>
      <c r="AA435" s="104"/>
      <c r="AB435" s="10"/>
      <c r="AC435" s="60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8"/>
      <c r="BC435" s="147"/>
      <c r="BD435" s="54"/>
      <c r="BE435" s="32"/>
    </row>
    <row r="436" spans="1:57" x14ac:dyDescent="0.3">
      <c r="A436" s="241" t="str">
        <f t="shared" si="8"/>
        <v/>
      </c>
      <c r="B436" s="323"/>
      <c r="C436" s="324"/>
      <c r="D436" s="325"/>
      <c r="E436" s="349"/>
      <c r="F436" s="347"/>
      <c r="G436" s="30"/>
      <c r="H436" s="30"/>
      <c r="I436" s="30"/>
      <c r="J436" s="30"/>
      <c r="K436" s="30"/>
      <c r="L436" s="30"/>
      <c r="M436" s="30"/>
      <c r="N436" s="30"/>
      <c r="O436" s="154"/>
      <c r="P436" s="154"/>
      <c r="Q436" s="50"/>
      <c r="R436" s="50"/>
      <c r="S436" s="50"/>
      <c r="T436" s="50"/>
      <c r="U436" s="50"/>
      <c r="V436" s="50"/>
      <c r="W436" s="50"/>
      <c r="X436" s="51"/>
      <c r="Y436" s="50"/>
      <c r="Z436" s="30"/>
      <c r="AA436" s="104"/>
      <c r="AB436" s="10"/>
      <c r="AC436" s="60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8"/>
      <c r="BC436" s="147"/>
      <c r="BD436" s="54"/>
      <c r="BE436" s="32"/>
    </row>
    <row r="437" spans="1:57" x14ac:dyDescent="0.3">
      <c r="A437" s="241" t="str">
        <f t="shared" si="8"/>
        <v/>
      </c>
      <c r="B437" s="323"/>
      <c r="C437" s="324"/>
      <c r="D437" s="325"/>
      <c r="E437" s="349"/>
      <c r="F437" s="347"/>
      <c r="G437" s="30"/>
      <c r="H437" s="30"/>
      <c r="I437" s="30"/>
      <c r="J437" s="30"/>
      <c r="K437" s="30"/>
      <c r="L437" s="30"/>
      <c r="M437" s="30"/>
      <c r="N437" s="30"/>
      <c r="O437" s="154"/>
      <c r="P437" s="154"/>
      <c r="Q437" s="50"/>
      <c r="R437" s="50"/>
      <c r="S437" s="50"/>
      <c r="T437" s="50"/>
      <c r="U437" s="50"/>
      <c r="V437" s="50"/>
      <c r="W437" s="50"/>
      <c r="X437" s="51"/>
      <c r="Y437" s="50"/>
      <c r="Z437" s="30"/>
      <c r="AA437" s="104"/>
      <c r="AB437" s="10"/>
      <c r="AC437" s="60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8"/>
      <c r="BC437" s="147"/>
      <c r="BD437" s="54"/>
      <c r="BE437" s="32"/>
    </row>
    <row r="438" spans="1:57" x14ac:dyDescent="0.3">
      <c r="A438" s="241" t="str">
        <f t="shared" si="8"/>
        <v/>
      </c>
      <c r="B438" s="323"/>
      <c r="C438" s="324"/>
      <c r="D438" s="325"/>
      <c r="E438" s="349"/>
      <c r="F438" s="347"/>
      <c r="G438" s="30"/>
      <c r="H438" s="30"/>
      <c r="I438" s="30"/>
      <c r="J438" s="30"/>
      <c r="K438" s="30"/>
      <c r="L438" s="30"/>
      <c r="M438" s="30"/>
      <c r="N438" s="30"/>
      <c r="O438" s="154"/>
      <c r="P438" s="154"/>
      <c r="Q438" s="50"/>
      <c r="R438" s="50"/>
      <c r="S438" s="50"/>
      <c r="T438" s="50"/>
      <c r="U438" s="50"/>
      <c r="V438" s="50"/>
      <c r="W438" s="50"/>
      <c r="X438" s="51"/>
      <c r="Y438" s="50"/>
      <c r="Z438" s="30"/>
      <c r="AA438" s="104"/>
      <c r="AB438" s="10"/>
      <c r="AC438" s="60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8"/>
      <c r="BC438" s="147"/>
      <c r="BD438" s="54"/>
      <c r="BE438" s="32"/>
    </row>
    <row r="439" spans="1:57" x14ac:dyDescent="0.3">
      <c r="A439" s="241" t="str">
        <f t="shared" si="8"/>
        <v/>
      </c>
      <c r="B439" s="323"/>
      <c r="C439" s="324"/>
      <c r="D439" s="325"/>
      <c r="E439" s="349"/>
      <c r="F439" s="347"/>
      <c r="G439" s="30"/>
      <c r="H439" s="30"/>
      <c r="I439" s="30"/>
      <c r="J439" s="30"/>
      <c r="K439" s="30"/>
      <c r="L439" s="30"/>
      <c r="M439" s="30"/>
      <c r="N439" s="30"/>
      <c r="O439" s="154"/>
      <c r="P439" s="154"/>
      <c r="Q439" s="50"/>
      <c r="R439" s="50"/>
      <c r="S439" s="50"/>
      <c r="T439" s="50"/>
      <c r="U439" s="50"/>
      <c r="V439" s="50"/>
      <c r="W439" s="50"/>
      <c r="X439" s="51"/>
      <c r="Y439" s="50"/>
      <c r="Z439" s="30"/>
      <c r="AA439" s="104"/>
      <c r="AB439" s="10"/>
      <c r="AC439" s="60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8"/>
      <c r="BC439" s="147"/>
      <c r="BD439" s="54"/>
      <c r="BE439" s="32"/>
    </row>
    <row r="440" spans="1:57" x14ac:dyDescent="0.3">
      <c r="A440" s="241" t="str">
        <f t="shared" si="8"/>
        <v/>
      </c>
      <c r="B440" s="323"/>
      <c r="C440" s="324"/>
      <c r="D440" s="325"/>
      <c r="E440" s="349"/>
      <c r="F440" s="347"/>
      <c r="G440" s="30"/>
      <c r="H440" s="30"/>
      <c r="I440" s="30"/>
      <c r="J440" s="30"/>
      <c r="K440" s="30"/>
      <c r="L440" s="30"/>
      <c r="M440" s="30"/>
      <c r="N440" s="30"/>
      <c r="O440" s="154"/>
      <c r="P440" s="154"/>
      <c r="Q440" s="50"/>
      <c r="R440" s="50"/>
      <c r="S440" s="50"/>
      <c r="T440" s="50"/>
      <c r="U440" s="50"/>
      <c r="V440" s="50"/>
      <c r="W440" s="50"/>
      <c r="X440" s="51"/>
      <c r="Y440" s="50"/>
      <c r="Z440" s="30"/>
      <c r="AA440" s="104"/>
      <c r="AB440" s="10"/>
      <c r="AC440" s="60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8"/>
      <c r="BC440" s="147"/>
      <c r="BD440" s="54"/>
      <c r="BE440" s="32"/>
    </row>
    <row r="441" spans="1:57" x14ac:dyDescent="0.3">
      <c r="A441" s="241" t="str">
        <f t="shared" si="8"/>
        <v/>
      </c>
      <c r="B441" s="323"/>
      <c r="C441" s="324"/>
      <c r="D441" s="325"/>
      <c r="E441" s="349"/>
      <c r="F441" s="347"/>
      <c r="G441" s="30"/>
      <c r="H441" s="30"/>
      <c r="I441" s="30"/>
      <c r="J441" s="30"/>
      <c r="K441" s="30"/>
      <c r="L441" s="30"/>
      <c r="M441" s="30"/>
      <c r="N441" s="30"/>
      <c r="O441" s="154"/>
      <c r="P441" s="154"/>
      <c r="Q441" s="50"/>
      <c r="R441" s="50"/>
      <c r="S441" s="50"/>
      <c r="T441" s="50"/>
      <c r="U441" s="50"/>
      <c r="V441" s="50"/>
      <c r="W441" s="50"/>
      <c r="X441" s="51"/>
      <c r="Y441" s="50"/>
      <c r="Z441" s="30"/>
      <c r="AA441" s="104"/>
      <c r="AB441" s="10"/>
      <c r="AC441" s="60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8"/>
      <c r="BC441" s="147"/>
      <c r="BD441" s="54"/>
      <c r="BE441" s="32"/>
    </row>
    <row r="442" spans="1:57" x14ac:dyDescent="0.3">
      <c r="A442" s="241" t="str">
        <f t="shared" si="8"/>
        <v/>
      </c>
      <c r="B442" s="323"/>
      <c r="C442" s="324"/>
      <c r="D442" s="325"/>
      <c r="E442" s="349"/>
      <c r="F442" s="347"/>
      <c r="G442" s="30"/>
      <c r="H442" s="30"/>
      <c r="I442" s="30"/>
      <c r="J442" s="30"/>
      <c r="K442" s="30"/>
      <c r="L442" s="30"/>
      <c r="M442" s="30"/>
      <c r="N442" s="30"/>
      <c r="O442" s="154"/>
      <c r="P442" s="154"/>
      <c r="Q442" s="50"/>
      <c r="R442" s="50"/>
      <c r="S442" s="50"/>
      <c r="T442" s="50"/>
      <c r="U442" s="50"/>
      <c r="V442" s="50"/>
      <c r="W442" s="50"/>
      <c r="X442" s="51"/>
      <c r="Y442" s="50"/>
      <c r="Z442" s="30"/>
      <c r="AA442" s="104"/>
      <c r="AB442" s="10"/>
      <c r="AC442" s="60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8"/>
      <c r="BC442" s="147"/>
      <c r="BD442" s="54"/>
      <c r="BE442" s="32"/>
    </row>
    <row r="443" spans="1:57" x14ac:dyDescent="0.3">
      <c r="A443" s="241" t="str">
        <f t="shared" si="8"/>
        <v/>
      </c>
      <c r="B443" s="323"/>
      <c r="C443" s="324"/>
      <c r="D443" s="325"/>
      <c r="E443" s="349"/>
      <c r="F443" s="347"/>
      <c r="G443" s="30"/>
      <c r="H443" s="30"/>
      <c r="I443" s="30"/>
      <c r="J443" s="30"/>
      <c r="K443" s="30"/>
      <c r="L443" s="30"/>
      <c r="M443" s="30"/>
      <c r="N443" s="30"/>
      <c r="O443" s="154"/>
      <c r="P443" s="154"/>
      <c r="Q443" s="50"/>
      <c r="R443" s="50"/>
      <c r="S443" s="50"/>
      <c r="T443" s="50"/>
      <c r="U443" s="50"/>
      <c r="V443" s="50"/>
      <c r="W443" s="50"/>
      <c r="X443" s="51"/>
      <c r="Y443" s="50"/>
      <c r="Z443" s="30"/>
      <c r="AA443" s="104"/>
      <c r="AB443" s="10"/>
      <c r="AC443" s="60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8"/>
      <c r="BC443" s="147"/>
      <c r="BD443" s="54"/>
      <c r="BE443" s="32"/>
    </row>
    <row r="444" spans="1:57" x14ac:dyDescent="0.3">
      <c r="A444" s="241" t="str">
        <f t="shared" si="8"/>
        <v/>
      </c>
      <c r="B444" s="323"/>
      <c r="C444" s="324"/>
      <c r="D444" s="325"/>
      <c r="E444" s="349"/>
      <c r="F444" s="347"/>
      <c r="G444" s="30"/>
      <c r="H444" s="30"/>
      <c r="I444" s="30"/>
      <c r="J444" s="30"/>
      <c r="K444" s="30"/>
      <c r="L444" s="30"/>
      <c r="M444" s="30"/>
      <c r="N444" s="30"/>
      <c r="O444" s="154"/>
      <c r="P444" s="154"/>
      <c r="Q444" s="50"/>
      <c r="R444" s="50"/>
      <c r="S444" s="50"/>
      <c r="T444" s="50"/>
      <c r="U444" s="50"/>
      <c r="V444" s="50"/>
      <c r="W444" s="50"/>
      <c r="X444" s="51"/>
      <c r="Y444" s="50"/>
      <c r="Z444" s="30"/>
      <c r="AA444" s="104"/>
      <c r="AB444" s="10"/>
      <c r="AC444" s="60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8"/>
      <c r="BC444" s="147"/>
      <c r="BD444" s="54"/>
      <c r="BE444" s="32"/>
    </row>
    <row r="445" spans="1:57" x14ac:dyDescent="0.3">
      <c r="A445" s="241" t="str">
        <f t="shared" si="8"/>
        <v/>
      </c>
      <c r="B445" s="323"/>
      <c r="C445" s="324"/>
      <c r="D445" s="325"/>
      <c r="E445" s="349"/>
      <c r="F445" s="347"/>
      <c r="G445" s="30"/>
      <c r="H445" s="30"/>
      <c r="I445" s="30"/>
      <c r="J445" s="30"/>
      <c r="K445" s="30"/>
      <c r="L445" s="30"/>
      <c r="M445" s="30"/>
      <c r="N445" s="30"/>
      <c r="O445" s="154"/>
      <c r="P445" s="154"/>
      <c r="Q445" s="50"/>
      <c r="R445" s="50"/>
      <c r="S445" s="50"/>
      <c r="T445" s="50"/>
      <c r="U445" s="50"/>
      <c r="V445" s="50"/>
      <c r="W445" s="50"/>
      <c r="X445" s="51"/>
      <c r="Y445" s="50"/>
      <c r="Z445" s="30"/>
      <c r="AA445" s="104"/>
      <c r="AB445" s="10"/>
      <c r="AC445" s="60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8"/>
      <c r="BC445" s="147"/>
      <c r="BD445" s="54"/>
      <c r="BE445" s="32"/>
    </row>
    <row r="446" spans="1:57" x14ac:dyDescent="0.3">
      <c r="A446" s="241" t="str">
        <f t="shared" si="8"/>
        <v/>
      </c>
      <c r="B446" s="323"/>
      <c r="C446" s="324"/>
      <c r="D446" s="325"/>
      <c r="E446" s="349"/>
      <c r="F446" s="347"/>
      <c r="G446" s="30"/>
      <c r="H446" s="30"/>
      <c r="I446" s="30"/>
      <c r="J446" s="30"/>
      <c r="K446" s="30"/>
      <c r="L446" s="30"/>
      <c r="M446" s="30"/>
      <c r="N446" s="30"/>
      <c r="O446" s="154"/>
      <c r="P446" s="154"/>
      <c r="Q446" s="50"/>
      <c r="R446" s="50"/>
      <c r="S446" s="50"/>
      <c r="T446" s="50"/>
      <c r="U446" s="50"/>
      <c r="V446" s="50"/>
      <c r="W446" s="50"/>
      <c r="X446" s="51"/>
      <c r="Y446" s="50"/>
      <c r="Z446" s="30"/>
      <c r="AA446" s="104"/>
      <c r="AB446" s="10"/>
      <c r="AC446" s="60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8"/>
      <c r="BC446" s="147"/>
      <c r="BD446" s="54"/>
      <c r="BE446" s="32"/>
    </row>
    <row r="447" spans="1:57" x14ac:dyDescent="0.3">
      <c r="A447" s="241" t="str">
        <f t="shared" si="8"/>
        <v/>
      </c>
      <c r="B447" s="323"/>
      <c r="C447" s="324"/>
      <c r="D447" s="325"/>
      <c r="E447" s="349"/>
      <c r="F447" s="347"/>
      <c r="G447" s="30"/>
      <c r="H447" s="30"/>
      <c r="I447" s="30"/>
      <c r="J447" s="30"/>
      <c r="K447" s="30"/>
      <c r="L447" s="30"/>
      <c r="M447" s="30"/>
      <c r="N447" s="30"/>
      <c r="O447" s="154"/>
      <c r="P447" s="154"/>
      <c r="Q447" s="50"/>
      <c r="R447" s="50"/>
      <c r="S447" s="50"/>
      <c r="T447" s="50"/>
      <c r="U447" s="50"/>
      <c r="V447" s="50"/>
      <c r="W447" s="50"/>
      <c r="X447" s="51"/>
      <c r="Y447" s="50"/>
      <c r="Z447" s="30"/>
      <c r="AA447" s="104"/>
      <c r="AB447" s="10"/>
      <c r="AC447" s="60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8"/>
      <c r="BC447" s="147"/>
      <c r="BD447" s="54"/>
      <c r="BE447" s="32"/>
    </row>
    <row r="448" spans="1:57" x14ac:dyDescent="0.3">
      <c r="A448" s="241" t="str">
        <f t="shared" si="8"/>
        <v/>
      </c>
      <c r="B448" s="323"/>
      <c r="C448" s="324"/>
      <c r="D448" s="325"/>
      <c r="E448" s="349"/>
      <c r="F448" s="347"/>
      <c r="G448" s="30"/>
      <c r="H448" s="30"/>
      <c r="I448" s="30"/>
      <c r="J448" s="30"/>
      <c r="K448" s="30"/>
      <c r="L448" s="30"/>
      <c r="M448" s="30"/>
      <c r="N448" s="30"/>
      <c r="O448" s="154"/>
      <c r="P448" s="154"/>
      <c r="Q448" s="50"/>
      <c r="R448" s="50"/>
      <c r="S448" s="50"/>
      <c r="T448" s="50"/>
      <c r="U448" s="50"/>
      <c r="V448" s="50"/>
      <c r="W448" s="50"/>
      <c r="X448" s="51"/>
      <c r="Y448" s="50"/>
      <c r="Z448" s="30"/>
      <c r="AA448" s="104"/>
      <c r="AB448" s="10"/>
      <c r="AC448" s="60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8"/>
      <c r="BC448" s="147"/>
      <c r="BD448" s="54"/>
      <c r="BE448" s="32"/>
    </row>
    <row r="449" spans="1:57" x14ac:dyDescent="0.3">
      <c r="A449" s="241" t="str">
        <f t="shared" si="8"/>
        <v/>
      </c>
      <c r="B449" s="323"/>
      <c r="C449" s="324"/>
      <c r="D449" s="325"/>
      <c r="E449" s="349"/>
      <c r="F449" s="347"/>
      <c r="G449" s="30"/>
      <c r="H449" s="30"/>
      <c r="I449" s="30"/>
      <c r="J449" s="30"/>
      <c r="K449" s="30"/>
      <c r="L449" s="30"/>
      <c r="M449" s="30"/>
      <c r="N449" s="30"/>
      <c r="O449" s="154"/>
      <c r="P449" s="154"/>
      <c r="Q449" s="50"/>
      <c r="R449" s="50"/>
      <c r="S449" s="50"/>
      <c r="T449" s="50"/>
      <c r="U449" s="50"/>
      <c r="V449" s="50"/>
      <c r="W449" s="50"/>
      <c r="X449" s="51"/>
      <c r="Y449" s="50"/>
      <c r="Z449" s="30"/>
      <c r="AA449" s="104"/>
      <c r="AB449" s="10"/>
      <c r="AC449" s="60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8"/>
      <c r="BC449" s="147"/>
      <c r="BD449" s="54"/>
      <c r="BE449" s="32"/>
    </row>
    <row r="450" spans="1:57" x14ac:dyDescent="0.3">
      <c r="A450" s="241" t="str">
        <f t="shared" si="8"/>
        <v/>
      </c>
      <c r="B450" s="323"/>
      <c r="C450" s="324"/>
      <c r="D450" s="325"/>
      <c r="E450" s="349"/>
      <c r="F450" s="347"/>
      <c r="G450" s="30"/>
      <c r="H450" s="30"/>
      <c r="I450" s="30"/>
      <c r="J450" s="30"/>
      <c r="K450" s="30"/>
      <c r="L450" s="30"/>
      <c r="M450" s="30"/>
      <c r="N450" s="30"/>
      <c r="O450" s="154"/>
      <c r="P450" s="154"/>
      <c r="Q450" s="50"/>
      <c r="R450" s="50"/>
      <c r="S450" s="50"/>
      <c r="T450" s="50"/>
      <c r="U450" s="50"/>
      <c r="V450" s="50"/>
      <c r="W450" s="50"/>
      <c r="X450" s="51"/>
      <c r="Y450" s="50"/>
      <c r="Z450" s="30"/>
      <c r="AA450" s="104"/>
      <c r="AB450" s="10"/>
      <c r="AC450" s="60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8"/>
      <c r="BC450" s="147"/>
      <c r="BD450" s="54"/>
      <c r="BE450" s="32"/>
    </row>
    <row r="451" spans="1:57" x14ac:dyDescent="0.3">
      <c r="A451" s="241" t="str">
        <f t="shared" si="8"/>
        <v/>
      </c>
      <c r="B451" s="323"/>
      <c r="C451" s="324"/>
      <c r="D451" s="325"/>
      <c r="E451" s="349"/>
      <c r="F451" s="347"/>
      <c r="G451" s="30"/>
      <c r="H451" s="30"/>
      <c r="I451" s="30"/>
      <c r="J451" s="30"/>
      <c r="K451" s="30"/>
      <c r="L451" s="30"/>
      <c r="M451" s="30"/>
      <c r="N451" s="30"/>
      <c r="O451" s="154"/>
      <c r="P451" s="154"/>
      <c r="Q451" s="50"/>
      <c r="R451" s="50"/>
      <c r="S451" s="50"/>
      <c r="T451" s="50"/>
      <c r="U451" s="50"/>
      <c r="V451" s="50"/>
      <c r="W451" s="50"/>
      <c r="X451" s="51"/>
      <c r="Y451" s="50"/>
      <c r="Z451" s="30"/>
      <c r="AA451" s="104"/>
      <c r="AB451" s="10"/>
      <c r="AC451" s="60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8"/>
      <c r="BC451" s="147"/>
      <c r="BD451" s="54"/>
      <c r="BE451" s="32"/>
    </row>
    <row r="452" spans="1:57" x14ac:dyDescent="0.3">
      <c r="A452" s="241" t="str">
        <f t="shared" si="8"/>
        <v/>
      </c>
      <c r="B452" s="323"/>
      <c r="C452" s="324"/>
      <c r="D452" s="325"/>
      <c r="E452" s="349"/>
      <c r="F452" s="347"/>
      <c r="G452" s="30"/>
      <c r="H452" s="30"/>
      <c r="I452" s="30"/>
      <c r="J452" s="30"/>
      <c r="K452" s="30"/>
      <c r="L452" s="30"/>
      <c r="M452" s="30"/>
      <c r="N452" s="30"/>
      <c r="O452" s="154"/>
      <c r="P452" s="154"/>
      <c r="Q452" s="50"/>
      <c r="R452" s="50"/>
      <c r="S452" s="50"/>
      <c r="T452" s="50"/>
      <c r="U452" s="50"/>
      <c r="V452" s="50"/>
      <c r="W452" s="50"/>
      <c r="X452" s="51"/>
      <c r="Y452" s="50"/>
      <c r="Z452" s="30"/>
      <c r="AA452" s="104"/>
      <c r="AB452" s="10"/>
      <c r="AC452" s="60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8"/>
      <c r="BC452" s="147"/>
      <c r="BD452" s="54"/>
      <c r="BE452" s="32"/>
    </row>
    <row r="453" spans="1:57" x14ac:dyDescent="0.3">
      <c r="A453" s="241" t="str">
        <f t="shared" si="8"/>
        <v/>
      </c>
      <c r="B453" s="323"/>
      <c r="C453" s="324"/>
      <c r="D453" s="325"/>
      <c r="E453" s="349"/>
      <c r="F453" s="347"/>
      <c r="G453" s="30"/>
      <c r="H453" s="30"/>
      <c r="I453" s="30"/>
      <c r="J453" s="30"/>
      <c r="K453" s="30"/>
      <c r="L453" s="30"/>
      <c r="M453" s="30"/>
      <c r="N453" s="30"/>
      <c r="O453" s="154"/>
      <c r="P453" s="154"/>
      <c r="Q453" s="50"/>
      <c r="R453" s="50"/>
      <c r="S453" s="50"/>
      <c r="T453" s="50"/>
      <c r="U453" s="50"/>
      <c r="V453" s="50"/>
      <c r="W453" s="50"/>
      <c r="X453" s="51"/>
      <c r="Y453" s="50"/>
      <c r="Z453" s="30"/>
      <c r="AA453" s="104"/>
      <c r="AB453" s="10"/>
      <c r="AC453" s="60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8"/>
      <c r="BC453" s="147"/>
      <c r="BD453" s="54"/>
      <c r="BE453" s="32"/>
    </row>
    <row r="454" spans="1:57" x14ac:dyDescent="0.3">
      <c r="A454" s="241" t="str">
        <f t="shared" si="8"/>
        <v/>
      </c>
      <c r="B454" s="323"/>
      <c r="C454" s="324"/>
      <c r="D454" s="325"/>
      <c r="E454" s="349"/>
      <c r="F454" s="347"/>
      <c r="G454" s="30"/>
      <c r="H454" s="30"/>
      <c r="I454" s="30"/>
      <c r="J454" s="30"/>
      <c r="K454" s="30"/>
      <c r="L454" s="30"/>
      <c r="M454" s="30"/>
      <c r="N454" s="30"/>
      <c r="O454" s="154"/>
      <c r="P454" s="154"/>
      <c r="Q454" s="50"/>
      <c r="R454" s="50"/>
      <c r="S454" s="50"/>
      <c r="T454" s="50"/>
      <c r="U454" s="50"/>
      <c r="V454" s="50"/>
      <c r="W454" s="50"/>
      <c r="X454" s="51"/>
      <c r="Y454" s="50"/>
      <c r="Z454" s="30"/>
      <c r="AA454" s="104"/>
      <c r="AB454" s="10"/>
      <c r="AC454" s="60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8"/>
      <c r="BC454" s="147"/>
      <c r="BD454" s="54"/>
      <c r="BE454" s="32"/>
    </row>
    <row r="455" spans="1:57" x14ac:dyDescent="0.3">
      <c r="A455" s="241" t="str">
        <f t="shared" si="8"/>
        <v/>
      </c>
      <c r="B455" s="323"/>
      <c r="C455" s="324"/>
      <c r="D455" s="325"/>
      <c r="E455" s="349"/>
      <c r="F455" s="347"/>
      <c r="G455" s="30"/>
      <c r="H455" s="30"/>
      <c r="I455" s="30"/>
      <c r="J455" s="30"/>
      <c r="K455" s="30"/>
      <c r="L455" s="30"/>
      <c r="M455" s="30"/>
      <c r="N455" s="30"/>
      <c r="O455" s="154"/>
      <c r="P455" s="154"/>
      <c r="Q455" s="50"/>
      <c r="R455" s="50"/>
      <c r="S455" s="50"/>
      <c r="T455" s="50"/>
      <c r="U455" s="50"/>
      <c r="V455" s="50"/>
      <c r="W455" s="50"/>
      <c r="X455" s="51"/>
      <c r="Y455" s="50"/>
      <c r="Z455" s="30"/>
      <c r="AA455" s="104"/>
      <c r="AB455" s="10"/>
      <c r="AC455" s="60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8"/>
      <c r="BC455" s="147"/>
      <c r="BD455" s="54"/>
      <c r="BE455" s="32"/>
    </row>
    <row r="456" spans="1:57" x14ac:dyDescent="0.3">
      <c r="A456" s="241" t="str">
        <f t="shared" si="8"/>
        <v/>
      </c>
      <c r="B456" s="323"/>
      <c r="C456" s="324"/>
      <c r="D456" s="325"/>
      <c r="E456" s="349"/>
      <c r="F456" s="347"/>
      <c r="G456" s="30"/>
      <c r="H456" s="30"/>
      <c r="I456" s="30"/>
      <c r="J456" s="30"/>
      <c r="K456" s="30"/>
      <c r="L456" s="30"/>
      <c r="M456" s="30"/>
      <c r="N456" s="30"/>
      <c r="O456" s="154"/>
      <c r="P456" s="154"/>
      <c r="Q456" s="50"/>
      <c r="R456" s="50"/>
      <c r="S456" s="50"/>
      <c r="T456" s="50"/>
      <c r="U456" s="50"/>
      <c r="V456" s="50"/>
      <c r="W456" s="50"/>
      <c r="X456" s="51"/>
      <c r="Y456" s="50"/>
      <c r="Z456" s="30"/>
      <c r="AA456" s="104"/>
      <c r="AB456" s="10"/>
      <c r="AC456" s="60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8"/>
      <c r="BC456" s="147"/>
      <c r="BD456" s="54"/>
      <c r="BE456" s="32"/>
    </row>
    <row r="457" spans="1:57" x14ac:dyDescent="0.3">
      <c r="A457" s="241" t="str">
        <f t="shared" si="8"/>
        <v/>
      </c>
      <c r="B457" s="323"/>
      <c r="C457" s="324"/>
      <c r="D457" s="325"/>
      <c r="E457" s="349"/>
      <c r="F457" s="347"/>
      <c r="G457" s="30"/>
      <c r="H457" s="30"/>
      <c r="I457" s="30"/>
      <c r="J457" s="30"/>
      <c r="K457" s="30"/>
      <c r="L457" s="30"/>
      <c r="M457" s="30"/>
      <c r="N457" s="30"/>
      <c r="O457" s="154"/>
      <c r="P457" s="154"/>
      <c r="Q457" s="50"/>
      <c r="R457" s="50"/>
      <c r="S457" s="50"/>
      <c r="T457" s="50"/>
      <c r="U457" s="50"/>
      <c r="V457" s="50"/>
      <c r="W457" s="50"/>
      <c r="X457" s="51"/>
      <c r="Y457" s="50"/>
      <c r="Z457" s="30"/>
      <c r="AA457" s="104"/>
      <c r="AB457" s="10"/>
      <c r="AC457" s="60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8"/>
      <c r="BC457" s="147"/>
      <c r="BD457" s="54"/>
      <c r="BE457" s="32"/>
    </row>
    <row r="458" spans="1:57" x14ac:dyDescent="0.3">
      <c r="A458" s="241" t="str">
        <f t="shared" si="8"/>
        <v/>
      </c>
      <c r="B458" s="323"/>
      <c r="C458" s="324"/>
      <c r="D458" s="325"/>
      <c r="E458" s="349"/>
      <c r="F458" s="347"/>
      <c r="G458" s="30"/>
      <c r="H458" s="30"/>
      <c r="I458" s="30"/>
      <c r="J458" s="30"/>
      <c r="K458" s="30"/>
      <c r="L458" s="30"/>
      <c r="M458" s="30"/>
      <c r="N458" s="30"/>
      <c r="O458" s="154"/>
      <c r="P458" s="154"/>
      <c r="Q458" s="50"/>
      <c r="R458" s="50"/>
      <c r="S458" s="50"/>
      <c r="T458" s="50"/>
      <c r="U458" s="50"/>
      <c r="V458" s="50"/>
      <c r="W458" s="50"/>
      <c r="X458" s="51"/>
      <c r="Y458" s="50"/>
      <c r="Z458" s="30"/>
      <c r="AA458" s="104"/>
      <c r="AB458" s="10"/>
      <c r="AC458" s="60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8"/>
      <c r="BC458" s="147"/>
      <c r="BD458" s="54"/>
      <c r="BE458" s="32"/>
    </row>
    <row r="459" spans="1:57" x14ac:dyDescent="0.3">
      <c r="A459" s="241" t="str">
        <f t="shared" si="8"/>
        <v/>
      </c>
      <c r="B459" s="323"/>
      <c r="C459" s="324"/>
      <c r="D459" s="325"/>
      <c r="E459" s="349"/>
      <c r="F459" s="347"/>
      <c r="G459" s="30"/>
      <c r="H459" s="30"/>
      <c r="I459" s="30"/>
      <c r="J459" s="30"/>
      <c r="K459" s="30"/>
      <c r="L459" s="30"/>
      <c r="M459" s="30"/>
      <c r="N459" s="30"/>
      <c r="O459" s="154"/>
      <c r="P459" s="154"/>
      <c r="Q459" s="50"/>
      <c r="R459" s="50"/>
      <c r="S459" s="50"/>
      <c r="T459" s="50"/>
      <c r="U459" s="50"/>
      <c r="V459" s="50"/>
      <c r="W459" s="50"/>
      <c r="X459" s="51"/>
      <c r="Y459" s="50"/>
      <c r="Z459" s="30"/>
      <c r="AA459" s="104"/>
      <c r="AB459" s="10"/>
      <c r="AC459" s="60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8"/>
      <c r="BC459" s="147"/>
      <c r="BD459" s="54"/>
      <c r="BE459" s="32"/>
    </row>
    <row r="460" spans="1:57" x14ac:dyDescent="0.3">
      <c r="A460" s="241" t="str">
        <f t="shared" si="8"/>
        <v/>
      </c>
      <c r="B460" s="323"/>
      <c r="C460" s="324"/>
      <c r="D460" s="325"/>
      <c r="E460" s="349"/>
      <c r="F460" s="347"/>
      <c r="G460" s="30"/>
      <c r="H460" s="30"/>
      <c r="I460" s="30"/>
      <c r="J460" s="30"/>
      <c r="K460" s="30"/>
      <c r="L460" s="30"/>
      <c r="M460" s="30"/>
      <c r="N460" s="30"/>
      <c r="O460" s="154"/>
      <c r="P460" s="154"/>
      <c r="Q460" s="50"/>
      <c r="R460" s="50"/>
      <c r="S460" s="50"/>
      <c r="T460" s="50"/>
      <c r="U460" s="50"/>
      <c r="V460" s="50"/>
      <c r="W460" s="50"/>
      <c r="X460" s="51"/>
      <c r="Y460" s="50"/>
      <c r="Z460" s="30"/>
      <c r="AA460" s="104"/>
      <c r="AB460" s="10"/>
      <c r="AC460" s="60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8"/>
      <c r="BC460" s="147"/>
      <c r="BD460" s="54"/>
      <c r="BE460" s="32"/>
    </row>
    <row r="461" spans="1:57" x14ac:dyDescent="0.3">
      <c r="A461" s="241" t="str">
        <f t="shared" si="8"/>
        <v/>
      </c>
      <c r="B461" s="323"/>
      <c r="C461" s="324"/>
      <c r="D461" s="325"/>
      <c r="E461" s="349"/>
      <c r="F461" s="347"/>
      <c r="G461" s="30"/>
      <c r="H461" s="30"/>
      <c r="I461" s="30"/>
      <c r="J461" s="30"/>
      <c r="K461" s="30"/>
      <c r="L461" s="30"/>
      <c r="M461" s="30"/>
      <c r="N461" s="30"/>
      <c r="O461" s="154"/>
      <c r="P461" s="154"/>
      <c r="Q461" s="50"/>
      <c r="R461" s="50"/>
      <c r="S461" s="50"/>
      <c r="T461" s="50"/>
      <c r="U461" s="50"/>
      <c r="V461" s="50"/>
      <c r="W461" s="50"/>
      <c r="X461" s="51"/>
      <c r="Y461" s="50"/>
      <c r="Z461" s="30"/>
      <c r="AA461" s="104"/>
      <c r="AB461" s="10"/>
      <c r="AC461" s="60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8"/>
      <c r="BC461" s="147"/>
      <c r="BD461" s="54"/>
      <c r="BE461" s="32"/>
    </row>
    <row r="462" spans="1:57" x14ac:dyDescent="0.3">
      <c r="A462" s="241" t="str">
        <f t="shared" si="8"/>
        <v/>
      </c>
      <c r="B462" s="323"/>
      <c r="C462" s="324"/>
      <c r="D462" s="325"/>
      <c r="E462" s="349"/>
      <c r="F462" s="347"/>
      <c r="G462" s="30"/>
      <c r="H462" s="30"/>
      <c r="I462" s="30"/>
      <c r="J462" s="30"/>
      <c r="K462" s="30"/>
      <c r="L462" s="30"/>
      <c r="M462" s="30"/>
      <c r="N462" s="30"/>
      <c r="O462" s="154"/>
      <c r="P462" s="154"/>
      <c r="Q462" s="50"/>
      <c r="R462" s="50"/>
      <c r="S462" s="50"/>
      <c r="T462" s="50"/>
      <c r="U462" s="50"/>
      <c r="V462" s="50"/>
      <c r="W462" s="50"/>
      <c r="X462" s="51"/>
      <c r="Y462" s="50"/>
      <c r="Z462" s="30"/>
      <c r="AA462" s="104"/>
      <c r="AB462" s="10"/>
      <c r="AC462" s="60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8"/>
      <c r="BC462" s="147"/>
      <c r="BD462" s="54"/>
      <c r="BE462" s="32"/>
    </row>
    <row r="463" spans="1:57" x14ac:dyDescent="0.3">
      <c r="A463" s="241" t="str">
        <f t="shared" si="8"/>
        <v/>
      </c>
      <c r="B463" s="323"/>
      <c r="C463" s="324"/>
      <c r="D463" s="325"/>
      <c r="E463" s="349"/>
      <c r="F463" s="347"/>
      <c r="G463" s="30"/>
      <c r="H463" s="30"/>
      <c r="I463" s="30"/>
      <c r="J463" s="30"/>
      <c r="K463" s="30"/>
      <c r="L463" s="30"/>
      <c r="M463" s="30"/>
      <c r="N463" s="30"/>
      <c r="O463" s="154"/>
      <c r="P463" s="154"/>
      <c r="Q463" s="50"/>
      <c r="R463" s="50"/>
      <c r="S463" s="50"/>
      <c r="T463" s="50"/>
      <c r="U463" s="50"/>
      <c r="V463" s="50"/>
      <c r="W463" s="50"/>
      <c r="X463" s="51"/>
      <c r="Y463" s="50"/>
      <c r="Z463" s="30"/>
      <c r="AA463" s="104"/>
      <c r="AB463" s="10"/>
      <c r="AC463" s="60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8"/>
      <c r="BC463" s="147"/>
      <c r="BD463" s="54"/>
      <c r="BE463" s="32"/>
    </row>
    <row r="464" spans="1:57" x14ac:dyDescent="0.3">
      <c r="A464" s="241" t="str">
        <f t="shared" si="8"/>
        <v/>
      </c>
      <c r="B464" s="323"/>
      <c r="C464" s="324"/>
      <c r="D464" s="325"/>
      <c r="E464" s="349"/>
      <c r="F464" s="347"/>
      <c r="G464" s="30"/>
      <c r="H464" s="30"/>
      <c r="I464" s="30"/>
      <c r="J464" s="30"/>
      <c r="K464" s="30"/>
      <c r="L464" s="30"/>
      <c r="M464" s="30"/>
      <c r="N464" s="30"/>
      <c r="O464" s="154"/>
      <c r="P464" s="154"/>
      <c r="Q464" s="50"/>
      <c r="R464" s="50"/>
      <c r="S464" s="50"/>
      <c r="T464" s="50"/>
      <c r="U464" s="50"/>
      <c r="V464" s="50"/>
      <c r="W464" s="50"/>
      <c r="X464" s="51"/>
      <c r="Y464" s="50"/>
      <c r="Z464" s="30"/>
      <c r="AA464" s="104"/>
      <c r="AB464" s="10"/>
      <c r="AC464" s="60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8"/>
      <c r="BC464" s="147"/>
      <c r="BD464" s="54"/>
      <c r="BE464" s="32"/>
    </row>
    <row r="465" spans="1:57" x14ac:dyDescent="0.3">
      <c r="A465" s="241" t="str">
        <f t="shared" si="8"/>
        <v/>
      </c>
      <c r="B465" s="323"/>
      <c r="C465" s="324"/>
      <c r="D465" s="325"/>
      <c r="E465" s="349"/>
      <c r="F465" s="347"/>
      <c r="G465" s="30"/>
      <c r="H465" s="30"/>
      <c r="I465" s="30"/>
      <c r="J465" s="30"/>
      <c r="K465" s="30"/>
      <c r="L465" s="30"/>
      <c r="M465" s="30"/>
      <c r="N465" s="30"/>
      <c r="O465" s="154"/>
      <c r="P465" s="154"/>
      <c r="Q465" s="50"/>
      <c r="R465" s="50"/>
      <c r="S465" s="50"/>
      <c r="T465" s="50"/>
      <c r="U465" s="50"/>
      <c r="V465" s="50"/>
      <c r="W465" s="50"/>
      <c r="X465" s="51"/>
      <c r="Y465" s="50"/>
      <c r="Z465" s="30"/>
      <c r="AA465" s="104"/>
      <c r="AB465" s="10"/>
      <c r="AC465" s="60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8"/>
      <c r="BC465" s="147"/>
      <c r="BD465" s="54"/>
      <c r="BE465" s="32"/>
    </row>
    <row r="466" spans="1:57" x14ac:dyDescent="0.3">
      <c r="A466" s="241" t="str">
        <f t="shared" si="8"/>
        <v/>
      </c>
      <c r="B466" s="323"/>
      <c r="C466" s="324"/>
      <c r="D466" s="325"/>
      <c r="E466" s="349"/>
      <c r="F466" s="347"/>
      <c r="G466" s="30"/>
      <c r="H466" s="30"/>
      <c r="I466" s="30"/>
      <c r="J466" s="30"/>
      <c r="K466" s="30"/>
      <c r="L466" s="30"/>
      <c r="M466" s="30"/>
      <c r="N466" s="30"/>
      <c r="O466" s="154"/>
      <c r="P466" s="154"/>
      <c r="Q466" s="50"/>
      <c r="R466" s="50"/>
      <c r="S466" s="50"/>
      <c r="T466" s="50"/>
      <c r="U466" s="50"/>
      <c r="V466" s="50"/>
      <c r="W466" s="50"/>
      <c r="X466" s="51"/>
      <c r="Y466" s="50"/>
      <c r="Z466" s="30"/>
      <c r="AA466" s="104"/>
      <c r="AB466" s="10"/>
      <c r="AC466" s="60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8"/>
      <c r="BC466" s="147"/>
      <c r="BD466" s="54"/>
      <c r="BE466" s="32"/>
    </row>
    <row r="467" spans="1:57" x14ac:dyDescent="0.3">
      <c r="A467" s="241" t="str">
        <f t="shared" si="8"/>
        <v/>
      </c>
      <c r="B467" s="323"/>
      <c r="C467" s="324"/>
      <c r="D467" s="325"/>
      <c r="E467" s="349"/>
      <c r="F467" s="347"/>
      <c r="G467" s="30"/>
      <c r="H467" s="30"/>
      <c r="I467" s="30"/>
      <c r="J467" s="30"/>
      <c r="K467" s="30"/>
      <c r="L467" s="30"/>
      <c r="M467" s="30"/>
      <c r="N467" s="30"/>
      <c r="O467" s="154"/>
      <c r="P467" s="154"/>
      <c r="Q467" s="50"/>
      <c r="R467" s="50"/>
      <c r="S467" s="50"/>
      <c r="T467" s="50"/>
      <c r="U467" s="50"/>
      <c r="V467" s="50"/>
      <c r="W467" s="50"/>
      <c r="X467" s="51"/>
      <c r="Y467" s="50"/>
      <c r="Z467" s="30"/>
      <c r="AA467" s="104"/>
      <c r="AB467" s="10"/>
      <c r="AC467" s="60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8"/>
      <c r="BC467" s="147"/>
      <c r="BD467" s="54"/>
      <c r="BE467" s="32"/>
    </row>
    <row r="468" spans="1:57" x14ac:dyDescent="0.3">
      <c r="A468" s="241" t="str">
        <f t="shared" si="8"/>
        <v/>
      </c>
      <c r="B468" s="342"/>
      <c r="C468" s="343"/>
      <c r="D468" s="344"/>
      <c r="E468" s="349"/>
      <c r="F468" s="347"/>
      <c r="G468" s="30"/>
      <c r="H468" s="30"/>
      <c r="I468" s="30"/>
      <c r="J468" s="30"/>
      <c r="K468" s="30"/>
      <c r="L468" s="30"/>
      <c r="M468" s="30"/>
      <c r="N468" s="30"/>
      <c r="O468" s="154"/>
      <c r="P468" s="154"/>
      <c r="Q468" s="50"/>
      <c r="R468" s="50"/>
      <c r="S468" s="50"/>
      <c r="T468" s="50"/>
      <c r="U468" s="50"/>
      <c r="V468" s="50"/>
      <c r="W468" s="50"/>
      <c r="X468" s="51"/>
      <c r="Y468" s="50"/>
      <c r="Z468" s="30"/>
      <c r="AA468" s="104"/>
      <c r="AB468" s="10"/>
      <c r="AC468" s="60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8"/>
      <c r="BC468" s="147"/>
      <c r="BD468" s="54"/>
      <c r="BE468" s="32"/>
    </row>
    <row r="469" spans="1:57" x14ac:dyDescent="0.3">
      <c r="A469" s="241" t="str">
        <f t="shared" ref="A469:A532" si="9">CONCATENATE(B469,C469)</f>
        <v/>
      </c>
      <c r="B469" s="342"/>
      <c r="C469" s="343"/>
      <c r="D469" s="344"/>
      <c r="E469" s="349"/>
      <c r="F469" s="347"/>
      <c r="G469" s="329"/>
      <c r="H469" s="329"/>
      <c r="I469" s="329"/>
      <c r="J469" s="329"/>
      <c r="K469" s="329"/>
      <c r="L469" s="329"/>
      <c r="M469" s="329"/>
      <c r="N469" s="329"/>
      <c r="O469" s="330"/>
      <c r="P469" s="330"/>
      <c r="Q469" s="331"/>
      <c r="R469" s="331"/>
      <c r="S469" s="331"/>
      <c r="T469" s="331"/>
      <c r="U469" s="331"/>
      <c r="V469" s="331"/>
      <c r="W469" s="331"/>
      <c r="X469" s="332"/>
      <c r="Y469" s="331"/>
      <c r="Z469" s="329"/>
      <c r="AA469" s="333"/>
      <c r="AB469" s="334"/>
      <c r="AC469" s="335"/>
      <c r="AD469" s="336"/>
      <c r="AE469" s="336"/>
      <c r="AF469" s="336"/>
      <c r="AG469" s="336"/>
      <c r="AH469" s="336"/>
      <c r="AI469" s="336"/>
      <c r="AJ469" s="336"/>
      <c r="AK469" s="336"/>
      <c r="AL469" s="336"/>
      <c r="AM469" s="336"/>
      <c r="AN469" s="336"/>
      <c r="AO469" s="336"/>
      <c r="AP469" s="337"/>
      <c r="AQ469" s="337"/>
      <c r="AR469" s="337"/>
      <c r="AS469" s="337"/>
      <c r="AT469" s="337"/>
      <c r="AU469" s="337"/>
      <c r="AV469" s="337"/>
      <c r="AW469" s="337"/>
      <c r="AX469" s="337"/>
      <c r="AY469" s="337"/>
      <c r="AZ469" s="337"/>
      <c r="BA469" s="337"/>
      <c r="BB469" s="338"/>
      <c r="BC469" s="339"/>
      <c r="BD469" s="340"/>
      <c r="BE469" s="341"/>
    </row>
    <row r="470" spans="1:57" x14ac:dyDescent="0.3">
      <c r="A470" s="241" t="str">
        <f t="shared" si="9"/>
        <v/>
      </c>
      <c r="B470" s="323"/>
      <c r="C470" s="324"/>
      <c r="D470" s="325"/>
      <c r="E470" s="349"/>
      <c r="F470" s="347"/>
      <c r="G470" s="30"/>
      <c r="H470" s="30"/>
      <c r="I470" s="30"/>
      <c r="J470" s="30"/>
      <c r="K470" s="30"/>
      <c r="L470" s="30"/>
      <c r="M470" s="30"/>
      <c r="N470" s="30"/>
      <c r="O470" s="154"/>
      <c r="P470" s="154"/>
      <c r="Q470" s="50"/>
      <c r="R470" s="50"/>
      <c r="S470" s="50"/>
      <c r="T470" s="50"/>
      <c r="U470" s="50"/>
      <c r="V470" s="50"/>
      <c r="W470" s="50"/>
      <c r="X470" s="51"/>
      <c r="Y470" s="50"/>
      <c r="Z470" s="30"/>
      <c r="AA470" s="104"/>
      <c r="AB470" s="10"/>
      <c r="AC470" s="60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8"/>
      <c r="BC470" s="147"/>
      <c r="BD470" s="54"/>
      <c r="BE470" s="32"/>
    </row>
    <row r="471" spans="1:57" x14ac:dyDescent="0.3">
      <c r="A471" s="241" t="str">
        <f t="shared" si="9"/>
        <v/>
      </c>
      <c r="B471" s="323"/>
      <c r="C471" s="324"/>
      <c r="D471" s="325"/>
      <c r="E471" s="349"/>
      <c r="F471" s="347"/>
      <c r="G471" s="30"/>
      <c r="H471" s="30"/>
      <c r="I471" s="30"/>
      <c r="J471" s="30"/>
      <c r="K471" s="30"/>
      <c r="L471" s="30"/>
      <c r="M471" s="30"/>
      <c r="N471" s="30"/>
      <c r="O471" s="154"/>
      <c r="P471" s="154"/>
      <c r="Q471" s="50"/>
      <c r="R471" s="50"/>
      <c r="S471" s="50"/>
      <c r="T471" s="50"/>
      <c r="U471" s="50"/>
      <c r="V471" s="50"/>
      <c r="W471" s="50"/>
      <c r="X471" s="51"/>
      <c r="Y471" s="50"/>
      <c r="Z471" s="30"/>
      <c r="AA471" s="104"/>
      <c r="AB471" s="10"/>
      <c r="AC471" s="60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8"/>
      <c r="BC471" s="147"/>
      <c r="BD471" s="54"/>
      <c r="BE471" s="32"/>
    </row>
    <row r="472" spans="1:57" x14ac:dyDescent="0.3">
      <c r="A472" s="241" t="str">
        <f t="shared" si="9"/>
        <v/>
      </c>
      <c r="B472" s="323"/>
      <c r="C472" s="324"/>
      <c r="D472" s="325"/>
      <c r="E472" s="349"/>
      <c r="F472" s="347"/>
      <c r="G472" s="30"/>
      <c r="H472" s="30"/>
      <c r="I472" s="30"/>
      <c r="J472" s="30"/>
      <c r="K472" s="30"/>
      <c r="L472" s="30"/>
      <c r="M472" s="30"/>
      <c r="N472" s="30"/>
      <c r="O472" s="154"/>
      <c r="P472" s="154"/>
      <c r="Q472" s="50"/>
      <c r="R472" s="50"/>
      <c r="S472" s="50"/>
      <c r="T472" s="50"/>
      <c r="U472" s="50"/>
      <c r="V472" s="50"/>
      <c r="W472" s="50"/>
      <c r="X472" s="51"/>
      <c r="Y472" s="50"/>
      <c r="Z472" s="30"/>
      <c r="AA472" s="104"/>
      <c r="AB472" s="10"/>
      <c r="AC472" s="60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8"/>
      <c r="BC472" s="147"/>
      <c r="BD472" s="54"/>
      <c r="BE472" s="32"/>
    </row>
    <row r="473" spans="1:57" x14ac:dyDescent="0.3">
      <c r="A473" s="241" t="str">
        <f t="shared" si="9"/>
        <v/>
      </c>
      <c r="B473" s="323"/>
      <c r="C473" s="324"/>
      <c r="D473" s="325"/>
      <c r="E473" s="349"/>
      <c r="F473" s="347"/>
      <c r="G473" s="30"/>
      <c r="H473" s="30"/>
      <c r="I473" s="30"/>
      <c r="J473" s="30"/>
      <c r="K473" s="30"/>
      <c r="L473" s="30"/>
      <c r="M473" s="30"/>
      <c r="N473" s="30"/>
      <c r="O473" s="154"/>
      <c r="P473" s="154"/>
      <c r="Q473" s="50"/>
      <c r="R473" s="50"/>
      <c r="S473" s="50"/>
      <c r="T473" s="50"/>
      <c r="U473" s="50"/>
      <c r="V473" s="50"/>
      <c r="W473" s="50"/>
      <c r="X473" s="51"/>
      <c r="Y473" s="50"/>
      <c r="Z473" s="30"/>
      <c r="AA473" s="104"/>
      <c r="AB473" s="10"/>
      <c r="AC473" s="60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8"/>
      <c r="BC473" s="147"/>
      <c r="BD473" s="54"/>
      <c r="BE473" s="32"/>
    </row>
    <row r="474" spans="1:57" x14ac:dyDescent="0.3">
      <c r="A474" s="241" t="str">
        <f t="shared" si="9"/>
        <v/>
      </c>
      <c r="B474" s="323"/>
      <c r="C474" s="324"/>
      <c r="D474" s="325"/>
      <c r="E474" s="349"/>
      <c r="F474" s="347"/>
      <c r="G474" s="30"/>
      <c r="H474" s="30"/>
      <c r="I474" s="30"/>
      <c r="J474" s="30"/>
      <c r="K474" s="30"/>
      <c r="L474" s="30"/>
      <c r="M474" s="30"/>
      <c r="N474" s="30"/>
      <c r="O474" s="154"/>
      <c r="P474" s="154"/>
      <c r="Q474" s="50"/>
      <c r="R474" s="50"/>
      <c r="S474" s="50"/>
      <c r="T474" s="50"/>
      <c r="U474" s="50"/>
      <c r="V474" s="50"/>
      <c r="W474" s="50"/>
      <c r="X474" s="51"/>
      <c r="Y474" s="50"/>
      <c r="Z474" s="30"/>
      <c r="AA474" s="104"/>
      <c r="AB474" s="10"/>
      <c r="AC474" s="60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8"/>
      <c r="BC474" s="147"/>
      <c r="BD474" s="54"/>
      <c r="BE474" s="32"/>
    </row>
    <row r="475" spans="1:57" x14ac:dyDescent="0.3">
      <c r="A475" s="241" t="str">
        <f t="shared" si="9"/>
        <v/>
      </c>
      <c r="B475" s="323"/>
      <c r="C475" s="324"/>
      <c r="D475" s="325"/>
      <c r="E475" s="349"/>
      <c r="F475" s="347"/>
      <c r="G475" s="30"/>
      <c r="H475" s="30"/>
      <c r="I475" s="30"/>
      <c r="J475" s="30"/>
      <c r="K475" s="30"/>
      <c r="L475" s="30"/>
      <c r="M475" s="30"/>
      <c r="N475" s="30"/>
      <c r="O475" s="154"/>
      <c r="P475" s="154"/>
      <c r="Q475" s="50"/>
      <c r="R475" s="50"/>
      <c r="S475" s="50"/>
      <c r="T475" s="50"/>
      <c r="U475" s="50"/>
      <c r="V475" s="50"/>
      <c r="W475" s="50"/>
      <c r="X475" s="51"/>
      <c r="Y475" s="50"/>
      <c r="Z475" s="30"/>
      <c r="AA475" s="104"/>
      <c r="AB475" s="10"/>
      <c r="AC475" s="60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8"/>
      <c r="BC475" s="147"/>
      <c r="BD475" s="54"/>
      <c r="BE475" s="32"/>
    </row>
    <row r="476" spans="1:57" x14ac:dyDescent="0.3">
      <c r="A476" s="241" t="str">
        <f t="shared" si="9"/>
        <v/>
      </c>
      <c r="B476" s="323"/>
      <c r="C476" s="324"/>
      <c r="D476" s="325"/>
      <c r="E476" s="349"/>
      <c r="F476" s="347"/>
      <c r="G476" s="30"/>
      <c r="H476" s="30"/>
      <c r="I476" s="30"/>
      <c r="J476" s="30"/>
      <c r="K476" s="30"/>
      <c r="L476" s="30"/>
      <c r="M476" s="30"/>
      <c r="N476" s="30"/>
      <c r="O476" s="154"/>
      <c r="P476" s="154"/>
      <c r="Q476" s="50"/>
      <c r="R476" s="50"/>
      <c r="S476" s="50"/>
      <c r="T476" s="50"/>
      <c r="U476" s="50"/>
      <c r="V476" s="50"/>
      <c r="W476" s="50"/>
      <c r="X476" s="51"/>
      <c r="Y476" s="50"/>
      <c r="Z476" s="30"/>
      <c r="AA476" s="104"/>
      <c r="AB476" s="10"/>
      <c r="AC476" s="60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8"/>
      <c r="BC476" s="147"/>
      <c r="BD476" s="54"/>
      <c r="BE476" s="32"/>
    </row>
    <row r="477" spans="1:57" x14ac:dyDescent="0.3">
      <c r="A477" s="241" t="str">
        <f t="shared" si="9"/>
        <v/>
      </c>
      <c r="B477" s="323"/>
      <c r="C477" s="324"/>
      <c r="D477" s="325"/>
      <c r="E477" s="349"/>
      <c r="F477" s="347"/>
      <c r="G477" s="30"/>
      <c r="H477" s="30"/>
      <c r="I477" s="30"/>
      <c r="J477" s="30"/>
      <c r="K477" s="30"/>
      <c r="L477" s="30"/>
      <c r="M477" s="30"/>
      <c r="N477" s="30"/>
      <c r="O477" s="154"/>
      <c r="P477" s="154"/>
      <c r="Q477" s="50"/>
      <c r="R477" s="50"/>
      <c r="S477" s="50"/>
      <c r="T477" s="50"/>
      <c r="U477" s="50"/>
      <c r="V477" s="50"/>
      <c r="W477" s="50"/>
      <c r="X477" s="51"/>
      <c r="Y477" s="50"/>
      <c r="Z477" s="30"/>
      <c r="AA477" s="104"/>
      <c r="AB477" s="10"/>
      <c r="AC477" s="60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8"/>
      <c r="BC477" s="147"/>
      <c r="BD477" s="54"/>
      <c r="BE477" s="32"/>
    </row>
    <row r="478" spans="1:57" x14ac:dyDescent="0.3">
      <c r="A478" s="241" t="str">
        <f t="shared" si="9"/>
        <v/>
      </c>
      <c r="B478" s="323"/>
      <c r="C478" s="324"/>
      <c r="D478" s="325"/>
      <c r="E478" s="349"/>
      <c r="F478" s="347"/>
      <c r="G478" s="30"/>
      <c r="H478" s="30"/>
      <c r="I478" s="30"/>
      <c r="J478" s="30"/>
      <c r="K478" s="30"/>
      <c r="L478" s="30"/>
      <c r="M478" s="30"/>
      <c r="N478" s="30"/>
      <c r="O478" s="154"/>
      <c r="P478" s="154"/>
      <c r="Q478" s="50"/>
      <c r="R478" s="50"/>
      <c r="S478" s="50"/>
      <c r="T478" s="50"/>
      <c r="U478" s="50"/>
      <c r="V478" s="50"/>
      <c r="W478" s="50"/>
      <c r="X478" s="51"/>
      <c r="Y478" s="50"/>
      <c r="Z478" s="30"/>
      <c r="AA478" s="104"/>
      <c r="AB478" s="10"/>
      <c r="AC478" s="60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8"/>
      <c r="BC478" s="147"/>
      <c r="BD478" s="54"/>
      <c r="BE478" s="32"/>
    </row>
    <row r="479" spans="1:57" x14ac:dyDescent="0.3">
      <c r="A479" s="241" t="str">
        <f t="shared" si="9"/>
        <v/>
      </c>
      <c r="B479" s="323"/>
      <c r="C479" s="324"/>
      <c r="D479" s="325"/>
      <c r="E479" s="349"/>
      <c r="F479" s="347"/>
      <c r="G479" s="30"/>
      <c r="H479" s="30"/>
      <c r="I479" s="30"/>
      <c r="J479" s="30"/>
      <c r="K479" s="30"/>
      <c r="L479" s="30"/>
      <c r="M479" s="30"/>
      <c r="N479" s="30"/>
      <c r="O479" s="154"/>
      <c r="P479" s="154"/>
      <c r="Q479" s="50"/>
      <c r="R479" s="50"/>
      <c r="S479" s="50"/>
      <c r="T479" s="50"/>
      <c r="U479" s="50"/>
      <c r="V479" s="50"/>
      <c r="W479" s="50"/>
      <c r="X479" s="51"/>
      <c r="Y479" s="50"/>
      <c r="Z479" s="30"/>
      <c r="AA479" s="104"/>
      <c r="AB479" s="10"/>
      <c r="AC479" s="60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8"/>
      <c r="BC479" s="147"/>
      <c r="BD479" s="54"/>
      <c r="BE479" s="32"/>
    </row>
    <row r="480" spans="1:57" x14ac:dyDescent="0.3">
      <c r="A480" s="241" t="str">
        <f t="shared" si="9"/>
        <v/>
      </c>
      <c r="B480" s="323"/>
      <c r="C480" s="324"/>
      <c r="D480" s="325"/>
      <c r="E480" s="349"/>
      <c r="F480" s="347"/>
      <c r="G480" s="30"/>
      <c r="H480" s="30"/>
      <c r="I480" s="30"/>
      <c r="J480" s="30"/>
      <c r="K480" s="30"/>
      <c r="L480" s="30"/>
      <c r="M480" s="30"/>
      <c r="N480" s="30"/>
      <c r="O480" s="154"/>
      <c r="P480" s="154"/>
      <c r="Q480" s="50"/>
      <c r="R480" s="50"/>
      <c r="S480" s="50"/>
      <c r="T480" s="50"/>
      <c r="U480" s="50"/>
      <c r="V480" s="50"/>
      <c r="W480" s="50"/>
      <c r="X480" s="51"/>
      <c r="Y480" s="50"/>
      <c r="Z480" s="30"/>
      <c r="AA480" s="104"/>
      <c r="AB480" s="10"/>
      <c r="AC480" s="60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8"/>
      <c r="BC480" s="147"/>
      <c r="BD480" s="54"/>
      <c r="BE480" s="32"/>
    </row>
    <row r="481" spans="1:57" x14ac:dyDescent="0.3">
      <c r="A481" s="241" t="str">
        <f t="shared" si="9"/>
        <v/>
      </c>
      <c r="B481" s="323"/>
      <c r="C481" s="324"/>
      <c r="D481" s="325"/>
      <c r="E481" s="349"/>
      <c r="F481" s="347"/>
      <c r="G481" s="30"/>
      <c r="H481" s="30"/>
      <c r="I481" s="30"/>
      <c r="J481" s="30"/>
      <c r="K481" s="30"/>
      <c r="L481" s="30"/>
      <c r="M481" s="30"/>
      <c r="N481" s="30"/>
      <c r="O481" s="154"/>
      <c r="P481" s="154"/>
      <c r="Q481" s="50"/>
      <c r="R481" s="50"/>
      <c r="S481" s="50"/>
      <c r="T481" s="50"/>
      <c r="U481" s="50"/>
      <c r="V481" s="50"/>
      <c r="W481" s="50"/>
      <c r="X481" s="51"/>
      <c r="Y481" s="50"/>
      <c r="Z481" s="30"/>
      <c r="AA481" s="104"/>
      <c r="AB481" s="10"/>
      <c r="AC481" s="60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8"/>
      <c r="BC481" s="147"/>
      <c r="BD481" s="54"/>
      <c r="BE481" s="32"/>
    </row>
    <row r="482" spans="1:57" x14ac:dyDescent="0.3">
      <c r="A482" s="241" t="str">
        <f t="shared" si="9"/>
        <v/>
      </c>
      <c r="B482" s="323"/>
      <c r="C482" s="324"/>
      <c r="D482" s="325"/>
      <c r="E482" s="349"/>
      <c r="F482" s="347"/>
      <c r="G482" s="30"/>
      <c r="H482" s="30"/>
      <c r="I482" s="30"/>
      <c r="J482" s="30"/>
      <c r="K482" s="30"/>
      <c r="L482" s="30"/>
      <c r="M482" s="30"/>
      <c r="N482" s="30"/>
      <c r="O482" s="154"/>
      <c r="P482" s="154"/>
      <c r="Q482" s="50"/>
      <c r="R482" s="50"/>
      <c r="S482" s="50"/>
      <c r="T482" s="50"/>
      <c r="U482" s="50"/>
      <c r="V482" s="50"/>
      <c r="W482" s="50"/>
      <c r="X482" s="51"/>
      <c r="Y482" s="50"/>
      <c r="Z482" s="30"/>
      <c r="AA482" s="104"/>
      <c r="AB482" s="10"/>
      <c r="AC482" s="60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8"/>
      <c r="BC482" s="147"/>
      <c r="BD482" s="54"/>
      <c r="BE482" s="32"/>
    </row>
    <row r="483" spans="1:57" x14ac:dyDescent="0.3">
      <c r="A483" s="241" t="str">
        <f t="shared" si="9"/>
        <v/>
      </c>
      <c r="B483" s="323"/>
      <c r="C483" s="324"/>
      <c r="D483" s="325"/>
      <c r="E483" s="349"/>
      <c r="F483" s="347"/>
      <c r="G483" s="30"/>
      <c r="H483" s="30"/>
      <c r="I483" s="30"/>
      <c r="J483" s="30"/>
      <c r="K483" s="30"/>
      <c r="L483" s="30"/>
      <c r="M483" s="30"/>
      <c r="N483" s="30"/>
      <c r="O483" s="154"/>
      <c r="P483" s="154"/>
      <c r="Q483" s="50"/>
      <c r="R483" s="50"/>
      <c r="S483" s="50"/>
      <c r="T483" s="50"/>
      <c r="U483" s="50"/>
      <c r="V483" s="50"/>
      <c r="W483" s="50"/>
      <c r="X483" s="51"/>
      <c r="Y483" s="50"/>
      <c r="Z483" s="30"/>
      <c r="AA483" s="104"/>
      <c r="AB483" s="10"/>
      <c r="AC483" s="60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8"/>
      <c r="BC483" s="147"/>
      <c r="BD483" s="54"/>
      <c r="BE483" s="32"/>
    </row>
    <row r="484" spans="1:57" x14ac:dyDescent="0.3">
      <c r="A484" s="241" t="str">
        <f t="shared" si="9"/>
        <v/>
      </c>
      <c r="B484" s="323"/>
      <c r="C484" s="324"/>
      <c r="D484" s="325"/>
      <c r="E484" s="349"/>
      <c r="F484" s="347"/>
      <c r="G484" s="30"/>
      <c r="H484" s="30"/>
      <c r="I484" s="30"/>
      <c r="J484" s="30"/>
      <c r="K484" s="30"/>
      <c r="L484" s="30"/>
      <c r="M484" s="30"/>
      <c r="N484" s="30"/>
      <c r="O484" s="154"/>
      <c r="P484" s="154"/>
      <c r="Q484" s="50"/>
      <c r="R484" s="50"/>
      <c r="S484" s="50"/>
      <c r="T484" s="50"/>
      <c r="U484" s="50"/>
      <c r="V484" s="50"/>
      <c r="W484" s="50"/>
      <c r="X484" s="51"/>
      <c r="Y484" s="50"/>
      <c r="Z484" s="30"/>
      <c r="AA484" s="104"/>
      <c r="AB484" s="10"/>
      <c r="AC484" s="60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8"/>
      <c r="BC484" s="147"/>
      <c r="BD484" s="54"/>
      <c r="BE484" s="32"/>
    </row>
    <row r="485" spans="1:57" x14ac:dyDescent="0.3">
      <c r="A485" s="241" t="str">
        <f t="shared" si="9"/>
        <v/>
      </c>
      <c r="B485" s="323"/>
      <c r="C485" s="324"/>
      <c r="D485" s="325"/>
      <c r="E485" s="349"/>
      <c r="F485" s="347"/>
      <c r="G485" s="30"/>
      <c r="H485" s="30"/>
      <c r="I485" s="30"/>
      <c r="J485" s="30"/>
      <c r="K485" s="30"/>
      <c r="L485" s="30"/>
      <c r="M485" s="30"/>
      <c r="N485" s="30"/>
      <c r="O485" s="154"/>
      <c r="P485" s="154"/>
      <c r="Q485" s="50"/>
      <c r="R485" s="50"/>
      <c r="S485" s="50"/>
      <c r="T485" s="50"/>
      <c r="U485" s="50"/>
      <c r="V485" s="50"/>
      <c r="W485" s="50"/>
      <c r="X485" s="51"/>
      <c r="Y485" s="50"/>
      <c r="Z485" s="30"/>
      <c r="AA485" s="104"/>
      <c r="AB485" s="10"/>
      <c r="AC485" s="60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8"/>
      <c r="BC485" s="147"/>
      <c r="BD485" s="54"/>
      <c r="BE485" s="32"/>
    </row>
    <row r="486" spans="1:57" x14ac:dyDescent="0.3">
      <c r="A486" s="241" t="str">
        <f t="shared" si="9"/>
        <v/>
      </c>
      <c r="B486" s="323"/>
      <c r="C486" s="324"/>
      <c r="D486" s="325"/>
      <c r="E486" s="349"/>
      <c r="F486" s="347"/>
      <c r="G486" s="30"/>
      <c r="H486" s="30"/>
      <c r="I486" s="30"/>
      <c r="J486" s="30"/>
      <c r="K486" s="30"/>
      <c r="L486" s="30"/>
      <c r="M486" s="30"/>
      <c r="N486" s="30"/>
      <c r="O486" s="154"/>
      <c r="P486" s="154"/>
      <c r="Q486" s="50"/>
      <c r="R486" s="50"/>
      <c r="S486" s="50"/>
      <c r="T486" s="50"/>
      <c r="U486" s="50"/>
      <c r="V486" s="50"/>
      <c r="W486" s="50"/>
      <c r="X486" s="51"/>
      <c r="Y486" s="50"/>
      <c r="Z486" s="30"/>
      <c r="AA486" s="104"/>
      <c r="AB486" s="10"/>
      <c r="AC486" s="60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8"/>
      <c r="BC486" s="147"/>
      <c r="BD486" s="54"/>
      <c r="BE486" s="32"/>
    </row>
    <row r="487" spans="1:57" x14ac:dyDescent="0.3">
      <c r="A487" s="241" t="str">
        <f t="shared" si="9"/>
        <v/>
      </c>
      <c r="B487" s="323"/>
      <c r="C487" s="324"/>
      <c r="D487" s="325"/>
      <c r="E487" s="349"/>
      <c r="F487" s="347"/>
      <c r="G487" s="30"/>
      <c r="H487" s="30"/>
      <c r="I487" s="30"/>
      <c r="J487" s="30"/>
      <c r="K487" s="30"/>
      <c r="L487" s="30"/>
      <c r="M487" s="30"/>
      <c r="N487" s="30"/>
      <c r="O487" s="154"/>
      <c r="P487" s="154"/>
      <c r="Q487" s="50"/>
      <c r="R487" s="50"/>
      <c r="S487" s="50"/>
      <c r="T487" s="50"/>
      <c r="U487" s="50"/>
      <c r="V487" s="50"/>
      <c r="W487" s="50"/>
      <c r="X487" s="51"/>
      <c r="Y487" s="50"/>
      <c r="Z487" s="30"/>
      <c r="AA487" s="104"/>
      <c r="AB487" s="10"/>
      <c r="AC487" s="60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8"/>
      <c r="BC487" s="147"/>
      <c r="BD487" s="54"/>
      <c r="BE487" s="32"/>
    </row>
    <row r="488" spans="1:57" x14ac:dyDescent="0.3">
      <c r="A488" s="241" t="str">
        <f t="shared" si="9"/>
        <v/>
      </c>
      <c r="B488" s="323"/>
      <c r="C488" s="324"/>
      <c r="D488" s="325"/>
      <c r="E488" s="349"/>
      <c r="F488" s="347"/>
      <c r="G488" s="30"/>
      <c r="H488" s="30"/>
      <c r="I488" s="30"/>
      <c r="J488" s="30"/>
      <c r="K488" s="30"/>
      <c r="L488" s="30"/>
      <c r="M488" s="30"/>
      <c r="N488" s="30"/>
      <c r="O488" s="154"/>
      <c r="P488" s="154"/>
      <c r="Q488" s="50"/>
      <c r="R488" s="50"/>
      <c r="S488" s="50"/>
      <c r="T488" s="50"/>
      <c r="U488" s="50"/>
      <c r="V488" s="50"/>
      <c r="W488" s="50"/>
      <c r="X488" s="51"/>
      <c r="Y488" s="50"/>
      <c r="Z488" s="30"/>
      <c r="AA488" s="104"/>
      <c r="AB488" s="10"/>
      <c r="AC488" s="60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8"/>
      <c r="BC488" s="147"/>
      <c r="BD488" s="54"/>
      <c r="BE488" s="32"/>
    </row>
    <row r="489" spans="1:57" x14ac:dyDescent="0.3">
      <c r="A489" s="241" t="str">
        <f t="shared" si="9"/>
        <v/>
      </c>
      <c r="B489" s="323"/>
      <c r="C489" s="324"/>
      <c r="D489" s="325"/>
      <c r="E489" s="349"/>
      <c r="F489" s="347"/>
      <c r="G489" s="30"/>
      <c r="H489" s="30"/>
      <c r="I489" s="30"/>
      <c r="J489" s="30"/>
      <c r="K489" s="30"/>
      <c r="L489" s="30"/>
      <c r="M489" s="30"/>
      <c r="N489" s="30"/>
      <c r="O489" s="154"/>
      <c r="P489" s="154"/>
      <c r="Q489" s="50"/>
      <c r="R489" s="50"/>
      <c r="S489" s="50"/>
      <c r="T489" s="50"/>
      <c r="U489" s="50"/>
      <c r="V489" s="50"/>
      <c r="W489" s="50"/>
      <c r="X489" s="51"/>
      <c r="Y489" s="50"/>
      <c r="Z489" s="30"/>
      <c r="AA489" s="104"/>
      <c r="AB489" s="10"/>
      <c r="AC489" s="60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8"/>
      <c r="BC489" s="147"/>
      <c r="BD489" s="54"/>
      <c r="BE489" s="32"/>
    </row>
    <row r="490" spans="1:57" x14ac:dyDescent="0.3">
      <c r="A490" s="241" t="str">
        <f t="shared" si="9"/>
        <v/>
      </c>
      <c r="B490" s="323"/>
      <c r="C490" s="324"/>
      <c r="D490" s="325"/>
      <c r="E490" s="349"/>
      <c r="F490" s="347"/>
      <c r="G490" s="30"/>
      <c r="H490" s="30"/>
      <c r="I490" s="30"/>
      <c r="J490" s="30"/>
      <c r="K490" s="30"/>
      <c r="L490" s="30"/>
      <c r="M490" s="30"/>
      <c r="N490" s="30"/>
      <c r="O490" s="154"/>
      <c r="P490" s="154"/>
      <c r="Q490" s="50"/>
      <c r="R490" s="50"/>
      <c r="S490" s="50"/>
      <c r="T490" s="50"/>
      <c r="U490" s="50"/>
      <c r="V490" s="50"/>
      <c r="W490" s="50"/>
      <c r="X490" s="51"/>
      <c r="Y490" s="50"/>
      <c r="Z490" s="30"/>
      <c r="AA490" s="104"/>
      <c r="AB490" s="10"/>
      <c r="AC490" s="60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8"/>
      <c r="BC490" s="147"/>
      <c r="BD490" s="54"/>
      <c r="BE490" s="32"/>
    </row>
    <row r="491" spans="1:57" x14ac:dyDescent="0.3">
      <c r="A491" s="241" t="str">
        <f t="shared" si="9"/>
        <v/>
      </c>
      <c r="B491" s="323"/>
      <c r="C491" s="324"/>
      <c r="D491" s="325"/>
      <c r="E491" s="349"/>
      <c r="F491" s="347"/>
      <c r="G491" s="30"/>
      <c r="H491" s="30"/>
      <c r="I491" s="30"/>
      <c r="J491" s="30"/>
      <c r="K491" s="30"/>
      <c r="L491" s="30"/>
      <c r="M491" s="30"/>
      <c r="N491" s="30"/>
      <c r="O491" s="154"/>
      <c r="P491" s="154"/>
      <c r="Q491" s="50"/>
      <c r="R491" s="50"/>
      <c r="S491" s="50"/>
      <c r="T491" s="50"/>
      <c r="U491" s="50"/>
      <c r="V491" s="50"/>
      <c r="W491" s="50"/>
      <c r="X491" s="51"/>
      <c r="Y491" s="50"/>
      <c r="Z491" s="30"/>
      <c r="AA491" s="104"/>
      <c r="AB491" s="10"/>
      <c r="AC491" s="60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8"/>
      <c r="BC491" s="147"/>
      <c r="BD491" s="54"/>
      <c r="BE491" s="32"/>
    </row>
    <row r="492" spans="1:57" x14ac:dyDescent="0.3">
      <c r="A492" s="241" t="str">
        <f t="shared" si="9"/>
        <v/>
      </c>
      <c r="B492" s="323"/>
      <c r="C492" s="324"/>
      <c r="D492" s="325"/>
      <c r="E492" s="349"/>
      <c r="F492" s="347"/>
      <c r="G492" s="30"/>
      <c r="H492" s="30"/>
      <c r="I492" s="30"/>
      <c r="J492" s="30"/>
      <c r="K492" s="30"/>
      <c r="L492" s="30"/>
      <c r="M492" s="30"/>
      <c r="N492" s="30"/>
      <c r="O492" s="154"/>
      <c r="P492" s="154"/>
      <c r="Q492" s="50"/>
      <c r="R492" s="50"/>
      <c r="S492" s="50"/>
      <c r="T492" s="50"/>
      <c r="U492" s="50"/>
      <c r="V492" s="50"/>
      <c r="W492" s="50"/>
      <c r="X492" s="51"/>
      <c r="Y492" s="50"/>
      <c r="Z492" s="30"/>
      <c r="AA492" s="104"/>
      <c r="AB492" s="10"/>
      <c r="AC492" s="60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8"/>
      <c r="BC492" s="147"/>
      <c r="BD492" s="54"/>
      <c r="BE492" s="32"/>
    </row>
    <row r="493" spans="1:57" x14ac:dyDescent="0.3">
      <c r="A493" s="241" t="str">
        <f t="shared" si="9"/>
        <v/>
      </c>
      <c r="B493" s="323"/>
      <c r="C493" s="324"/>
      <c r="D493" s="325"/>
      <c r="E493" s="349"/>
      <c r="F493" s="347"/>
      <c r="G493" s="30"/>
      <c r="H493" s="30"/>
      <c r="I493" s="30"/>
      <c r="J493" s="30"/>
      <c r="K493" s="30"/>
      <c r="L493" s="30"/>
      <c r="M493" s="30"/>
      <c r="N493" s="30"/>
      <c r="O493" s="154"/>
      <c r="P493" s="154"/>
      <c r="Q493" s="50"/>
      <c r="R493" s="50"/>
      <c r="S493" s="50"/>
      <c r="T493" s="50"/>
      <c r="U493" s="50"/>
      <c r="V493" s="50"/>
      <c r="W493" s="50"/>
      <c r="X493" s="51"/>
      <c r="Y493" s="50"/>
      <c r="Z493" s="30"/>
      <c r="AA493" s="104"/>
      <c r="AB493" s="10"/>
      <c r="AC493" s="60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8"/>
      <c r="BC493" s="147"/>
      <c r="BD493" s="54"/>
      <c r="BE493" s="32"/>
    </row>
    <row r="494" spans="1:57" x14ac:dyDescent="0.3">
      <c r="A494" s="241" t="str">
        <f t="shared" si="9"/>
        <v/>
      </c>
      <c r="B494" s="323"/>
      <c r="C494" s="324"/>
      <c r="D494" s="325"/>
      <c r="E494" s="349"/>
      <c r="F494" s="347"/>
      <c r="G494" s="30"/>
      <c r="H494" s="30"/>
      <c r="I494" s="30"/>
      <c r="J494" s="30"/>
      <c r="K494" s="30"/>
      <c r="L494" s="30"/>
      <c r="M494" s="30"/>
      <c r="N494" s="30"/>
      <c r="O494" s="154"/>
      <c r="P494" s="154"/>
      <c r="Q494" s="50"/>
      <c r="R494" s="50"/>
      <c r="S494" s="50"/>
      <c r="T494" s="50"/>
      <c r="U494" s="50"/>
      <c r="V494" s="50"/>
      <c r="W494" s="50"/>
      <c r="X494" s="51"/>
      <c r="Y494" s="50"/>
      <c r="Z494" s="30"/>
      <c r="AA494" s="104"/>
      <c r="AB494" s="10"/>
      <c r="AC494" s="60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8"/>
      <c r="BC494" s="147"/>
      <c r="BD494" s="54"/>
      <c r="BE494" s="32"/>
    </row>
    <row r="495" spans="1:57" x14ac:dyDescent="0.3">
      <c r="A495" s="241" t="str">
        <f t="shared" si="9"/>
        <v/>
      </c>
      <c r="B495" s="323"/>
      <c r="C495" s="324"/>
      <c r="D495" s="325"/>
      <c r="E495" s="349"/>
      <c r="F495" s="347"/>
      <c r="G495" s="30"/>
      <c r="H495" s="30"/>
      <c r="I495" s="30"/>
      <c r="J495" s="30"/>
      <c r="K495" s="30"/>
      <c r="L495" s="30"/>
      <c r="M495" s="30"/>
      <c r="N495" s="30"/>
      <c r="O495" s="154"/>
      <c r="P495" s="154"/>
      <c r="Q495" s="50"/>
      <c r="R495" s="50"/>
      <c r="S495" s="50"/>
      <c r="T495" s="50"/>
      <c r="U495" s="50"/>
      <c r="V495" s="50"/>
      <c r="W495" s="50"/>
      <c r="X495" s="51"/>
      <c r="Y495" s="50"/>
      <c r="Z495" s="30"/>
      <c r="AA495" s="104"/>
      <c r="AB495" s="10"/>
      <c r="AC495" s="60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8"/>
      <c r="BC495" s="147"/>
      <c r="BD495" s="54"/>
      <c r="BE495" s="32"/>
    </row>
    <row r="496" spans="1:57" x14ac:dyDescent="0.3">
      <c r="A496" s="241" t="str">
        <f t="shared" si="9"/>
        <v/>
      </c>
      <c r="B496" s="323"/>
      <c r="C496" s="324"/>
      <c r="D496" s="325"/>
      <c r="E496" s="349"/>
      <c r="F496" s="347"/>
      <c r="G496" s="30"/>
      <c r="H496" s="30"/>
      <c r="I496" s="30"/>
      <c r="J496" s="30"/>
      <c r="K496" s="30"/>
      <c r="L496" s="30"/>
      <c r="M496" s="30"/>
      <c r="N496" s="30"/>
      <c r="O496" s="154"/>
      <c r="P496" s="154"/>
      <c r="Q496" s="50"/>
      <c r="R496" s="50"/>
      <c r="S496" s="50"/>
      <c r="T496" s="50"/>
      <c r="U496" s="50"/>
      <c r="V496" s="50"/>
      <c r="W496" s="50"/>
      <c r="X496" s="51"/>
      <c r="Y496" s="50"/>
      <c r="Z496" s="30"/>
      <c r="AA496" s="104"/>
      <c r="AB496" s="10"/>
      <c r="AC496" s="60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8"/>
      <c r="BC496" s="147"/>
      <c r="BD496" s="54"/>
      <c r="BE496" s="32"/>
    </row>
    <row r="497" spans="1:57" x14ac:dyDescent="0.3">
      <c r="A497" s="241" t="str">
        <f t="shared" si="9"/>
        <v/>
      </c>
      <c r="B497" s="323"/>
      <c r="C497" s="324"/>
      <c r="D497" s="325"/>
      <c r="E497" s="349"/>
      <c r="F497" s="347"/>
      <c r="G497" s="30"/>
      <c r="H497" s="30"/>
      <c r="I497" s="30"/>
      <c r="J497" s="30"/>
      <c r="K497" s="30"/>
      <c r="L497" s="30"/>
      <c r="M497" s="30"/>
      <c r="N497" s="30"/>
      <c r="O497" s="154"/>
      <c r="P497" s="154"/>
      <c r="Q497" s="50"/>
      <c r="R497" s="50"/>
      <c r="S497" s="50"/>
      <c r="T497" s="50"/>
      <c r="U497" s="50"/>
      <c r="V497" s="50"/>
      <c r="W497" s="50"/>
      <c r="X497" s="51"/>
      <c r="Y497" s="50"/>
      <c r="Z497" s="30"/>
      <c r="AA497" s="104"/>
      <c r="AB497" s="10"/>
      <c r="AC497" s="60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8"/>
      <c r="BC497" s="147"/>
      <c r="BD497" s="54"/>
      <c r="BE497" s="32"/>
    </row>
    <row r="498" spans="1:57" x14ac:dyDescent="0.3">
      <c r="A498" s="241" t="str">
        <f t="shared" si="9"/>
        <v/>
      </c>
      <c r="B498" s="323"/>
      <c r="C498" s="324"/>
      <c r="D498" s="325"/>
      <c r="E498" s="349"/>
      <c r="F498" s="347"/>
      <c r="G498" s="30"/>
      <c r="H498" s="30"/>
      <c r="I498" s="30"/>
      <c r="J498" s="30"/>
      <c r="K498" s="30"/>
      <c r="L498" s="30"/>
      <c r="M498" s="30"/>
      <c r="N498" s="30"/>
      <c r="O498" s="154"/>
      <c r="P498" s="154"/>
      <c r="Q498" s="50"/>
      <c r="R498" s="50"/>
      <c r="S498" s="50"/>
      <c r="T498" s="50"/>
      <c r="U498" s="50"/>
      <c r="V498" s="50"/>
      <c r="W498" s="50"/>
      <c r="X498" s="51"/>
      <c r="Y498" s="50"/>
      <c r="Z498" s="30"/>
      <c r="AA498" s="104"/>
      <c r="AB498" s="10"/>
      <c r="AC498" s="60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8"/>
      <c r="BC498" s="147"/>
      <c r="BD498" s="54"/>
      <c r="BE498" s="32"/>
    </row>
    <row r="499" spans="1:57" x14ac:dyDescent="0.3">
      <c r="A499" s="241" t="str">
        <f t="shared" si="9"/>
        <v/>
      </c>
      <c r="B499" s="323"/>
      <c r="C499" s="324"/>
      <c r="D499" s="325"/>
      <c r="E499" s="349"/>
      <c r="F499" s="347"/>
      <c r="G499" s="30"/>
      <c r="H499" s="30"/>
      <c r="I499" s="30"/>
      <c r="J499" s="30"/>
      <c r="K499" s="30"/>
      <c r="L499" s="30"/>
      <c r="M499" s="30"/>
      <c r="N499" s="30"/>
      <c r="O499" s="154"/>
      <c r="P499" s="154"/>
      <c r="Q499" s="50"/>
      <c r="R499" s="50"/>
      <c r="S499" s="50"/>
      <c r="T499" s="50"/>
      <c r="U499" s="50"/>
      <c r="V499" s="50"/>
      <c r="W499" s="50"/>
      <c r="X499" s="51"/>
      <c r="Y499" s="50"/>
      <c r="Z499" s="30"/>
      <c r="AA499" s="104"/>
      <c r="AB499" s="10"/>
      <c r="AC499" s="60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8"/>
      <c r="BC499" s="147"/>
      <c r="BD499" s="54"/>
      <c r="BE499" s="32"/>
    </row>
    <row r="500" spans="1:57" x14ac:dyDescent="0.3">
      <c r="A500" s="241" t="str">
        <f t="shared" si="9"/>
        <v/>
      </c>
      <c r="B500" s="323"/>
      <c r="C500" s="324"/>
      <c r="D500" s="325"/>
      <c r="E500" s="349"/>
      <c r="F500" s="347"/>
      <c r="G500" s="30"/>
      <c r="H500" s="30"/>
      <c r="I500" s="30"/>
      <c r="J500" s="30"/>
      <c r="K500" s="30"/>
      <c r="L500" s="30"/>
      <c r="M500" s="30"/>
      <c r="N500" s="30"/>
      <c r="O500" s="154"/>
      <c r="P500" s="154"/>
      <c r="Q500" s="50"/>
      <c r="R500" s="50"/>
      <c r="S500" s="50"/>
      <c r="T500" s="50"/>
      <c r="U500" s="50"/>
      <c r="V500" s="50"/>
      <c r="W500" s="50"/>
      <c r="X500" s="51"/>
      <c r="Y500" s="50"/>
      <c r="Z500" s="30"/>
      <c r="AA500" s="104"/>
      <c r="AB500" s="10"/>
      <c r="AC500" s="60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8"/>
      <c r="BC500" s="147"/>
      <c r="BD500" s="54"/>
      <c r="BE500" s="32"/>
    </row>
    <row r="501" spans="1:57" x14ac:dyDescent="0.3">
      <c r="A501" s="241" t="str">
        <f t="shared" si="9"/>
        <v/>
      </c>
      <c r="B501" s="323"/>
      <c r="C501" s="324"/>
      <c r="D501" s="325"/>
      <c r="E501" s="349"/>
      <c r="F501" s="347"/>
      <c r="G501" s="30"/>
      <c r="H501" s="30"/>
      <c r="I501" s="30"/>
      <c r="J501" s="30"/>
      <c r="K501" s="30"/>
      <c r="L501" s="30"/>
      <c r="M501" s="30"/>
      <c r="N501" s="30"/>
      <c r="O501" s="154"/>
      <c r="P501" s="154"/>
      <c r="Q501" s="50"/>
      <c r="R501" s="50"/>
      <c r="S501" s="50"/>
      <c r="T501" s="50"/>
      <c r="U501" s="50"/>
      <c r="V501" s="50"/>
      <c r="W501" s="50"/>
      <c r="X501" s="51"/>
      <c r="Y501" s="50"/>
      <c r="Z501" s="30"/>
      <c r="AA501" s="104"/>
      <c r="AB501" s="10"/>
      <c r="AC501" s="60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8"/>
      <c r="BC501" s="147"/>
      <c r="BD501" s="54"/>
      <c r="BE501" s="32"/>
    </row>
    <row r="502" spans="1:57" x14ac:dyDescent="0.3">
      <c r="A502" s="241" t="str">
        <f t="shared" si="9"/>
        <v/>
      </c>
      <c r="B502" s="323"/>
      <c r="C502" s="324"/>
      <c r="D502" s="325"/>
      <c r="E502" s="349"/>
      <c r="F502" s="347"/>
      <c r="G502" s="30"/>
      <c r="H502" s="30"/>
      <c r="I502" s="30"/>
      <c r="J502" s="30"/>
      <c r="K502" s="30"/>
      <c r="L502" s="30"/>
      <c r="M502" s="30"/>
      <c r="N502" s="30"/>
      <c r="O502" s="154"/>
      <c r="P502" s="154"/>
      <c r="Q502" s="50"/>
      <c r="R502" s="50"/>
      <c r="S502" s="50"/>
      <c r="T502" s="50"/>
      <c r="U502" s="50"/>
      <c r="V502" s="50"/>
      <c r="W502" s="50"/>
      <c r="X502" s="51"/>
      <c r="Y502" s="50"/>
      <c r="Z502" s="30"/>
      <c r="AA502" s="104"/>
      <c r="AB502" s="10"/>
      <c r="AC502" s="60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8"/>
      <c r="BC502" s="147"/>
      <c r="BD502" s="54"/>
      <c r="BE502" s="32"/>
    </row>
    <row r="503" spans="1:57" x14ac:dyDescent="0.3">
      <c r="A503" s="241" t="str">
        <f t="shared" si="9"/>
        <v/>
      </c>
      <c r="B503" s="323"/>
      <c r="C503" s="324"/>
      <c r="D503" s="325"/>
      <c r="E503" s="349"/>
      <c r="F503" s="347"/>
      <c r="G503" s="30"/>
      <c r="H503" s="30"/>
      <c r="I503" s="30"/>
      <c r="J503" s="30"/>
      <c r="K503" s="30"/>
      <c r="L503" s="30"/>
      <c r="M503" s="30"/>
      <c r="N503" s="30"/>
      <c r="O503" s="154"/>
      <c r="P503" s="154"/>
      <c r="Q503" s="50"/>
      <c r="R503" s="50"/>
      <c r="S503" s="50"/>
      <c r="T503" s="50"/>
      <c r="U503" s="50"/>
      <c r="V503" s="50"/>
      <c r="W503" s="50"/>
      <c r="X503" s="51"/>
      <c r="Y503" s="50"/>
      <c r="Z503" s="30"/>
      <c r="AA503" s="104"/>
      <c r="AB503" s="10"/>
      <c r="AC503" s="60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8"/>
      <c r="BC503" s="147"/>
      <c r="BD503" s="54"/>
      <c r="BE503" s="32"/>
    </row>
    <row r="504" spans="1:57" x14ac:dyDescent="0.3">
      <c r="A504" s="241" t="str">
        <f t="shared" si="9"/>
        <v/>
      </c>
      <c r="B504" s="323"/>
      <c r="C504" s="324"/>
      <c r="D504" s="325"/>
      <c r="E504" s="349"/>
      <c r="F504" s="347"/>
      <c r="G504" s="30"/>
      <c r="H504" s="30"/>
      <c r="I504" s="30"/>
      <c r="J504" s="30"/>
      <c r="K504" s="30"/>
      <c r="L504" s="30"/>
      <c r="M504" s="30"/>
      <c r="N504" s="30"/>
      <c r="O504" s="154"/>
      <c r="P504" s="154"/>
      <c r="Q504" s="50"/>
      <c r="R504" s="50"/>
      <c r="S504" s="50"/>
      <c r="T504" s="50"/>
      <c r="U504" s="50"/>
      <c r="V504" s="50"/>
      <c r="W504" s="50"/>
      <c r="X504" s="51"/>
      <c r="Y504" s="50"/>
      <c r="Z504" s="30"/>
      <c r="AA504" s="104"/>
      <c r="AB504" s="10"/>
      <c r="AC504" s="60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8"/>
      <c r="BC504" s="147"/>
      <c r="BD504" s="54"/>
      <c r="BE504" s="32"/>
    </row>
    <row r="505" spans="1:57" x14ac:dyDescent="0.3">
      <c r="A505" s="241" t="str">
        <f t="shared" si="9"/>
        <v/>
      </c>
      <c r="B505" s="323"/>
      <c r="C505" s="324"/>
      <c r="D505" s="325"/>
      <c r="E505" s="349"/>
      <c r="F505" s="347"/>
      <c r="G505" s="30"/>
      <c r="H505" s="30"/>
      <c r="I505" s="30"/>
      <c r="J505" s="30"/>
      <c r="K505" s="30"/>
      <c r="L505" s="30"/>
      <c r="M505" s="30"/>
      <c r="N505" s="30"/>
      <c r="O505" s="154"/>
      <c r="P505" s="154"/>
      <c r="Q505" s="50"/>
      <c r="R505" s="50"/>
      <c r="S505" s="50"/>
      <c r="T505" s="50"/>
      <c r="U505" s="50"/>
      <c r="V505" s="50"/>
      <c r="W505" s="50"/>
      <c r="X505" s="51"/>
      <c r="Y505" s="50"/>
      <c r="Z505" s="30"/>
      <c r="AA505" s="104"/>
      <c r="AB505" s="10"/>
      <c r="AC505" s="60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8"/>
      <c r="BC505" s="147"/>
      <c r="BD505" s="54"/>
      <c r="BE505" s="32"/>
    </row>
    <row r="506" spans="1:57" x14ac:dyDescent="0.3">
      <c r="A506" s="241" t="str">
        <f t="shared" si="9"/>
        <v/>
      </c>
      <c r="B506" s="323"/>
      <c r="C506" s="324"/>
      <c r="D506" s="325"/>
      <c r="E506" s="349"/>
      <c r="F506" s="347"/>
      <c r="G506" s="30"/>
      <c r="H506" s="30"/>
      <c r="I506" s="30"/>
      <c r="J506" s="30"/>
      <c r="K506" s="30"/>
      <c r="L506" s="30"/>
      <c r="M506" s="30"/>
      <c r="N506" s="30"/>
      <c r="O506" s="154"/>
      <c r="P506" s="154"/>
      <c r="Q506" s="50"/>
      <c r="R506" s="50"/>
      <c r="S506" s="50"/>
      <c r="T506" s="50"/>
      <c r="U506" s="50"/>
      <c r="V506" s="50"/>
      <c r="W506" s="50"/>
      <c r="X506" s="51"/>
      <c r="Y506" s="50"/>
      <c r="Z506" s="30"/>
      <c r="AA506" s="104"/>
      <c r="AB506" s="10"/>
      <c r="AC506" s="60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8"/>
      <c r="BC506" s="147"/>
      <c r="BD506" s="54"/>
      <c r="BE506" s="32"/>
    </row>
    <row r="507" spans="1:57" x14ac:dyDescent="0.3">
      <c r="A507" s="241" t="str">
        <f t="shared" si="9"/>
        <v/>
      </c>
      <c r="B507" s="323"/>
      <c r="C507" s="324"/>
      <c r="D507" s="325"/>
      <c r="E507" s="349"/>
      <c r="F507" s="347"/>
      <c r="G507" s="30"/>
      <c r="H507" s="30"/>
      <c r="I507" s="30"/>
      <c r="J507" s="30"/>
      <c r="K507" s="30"/>
      <c r="L507" s="30"/>
      <c r="M507" s="30"/>
      <c r="N507" s="30"/>
      <c r="O507" s="154"/>
      <c r="P507" s="154"/>
      <c r="Q507" s="50"/>
      <c r="R507" s="50"/>
      <c r="S507" s="50"/>
      <c r="T507" s="50"/>
      <c r="U507" s="50"/>
      <c r="V507" s="50"/>
      <c r="W507" s="50"/>
      <c r="X507" s="51"/>
      <c r="Y507" s="50"/>
      <c r="Z507" s="30"/>
      <c r="AA507" s="104"/>
      <c r="AB507" s="10"/>
      <c r="AC507" s="60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8"/>
      <c r="BC507" s="147"/>
      <c r="BD507" s="54"/>
      <c r="BE507" s="32"/>
    </row>
    <row r="508" spans="1:57" x14ac:dyDescent="0.3">
      <c r="A508" s="241" t="str">
        <f t="shared" si="9"/>
        <v/>
      </c>
      <c r="B508" s="323"/>
      <c r="C508" s="324"/>
      <c r="D508" s="325"/>
      <c r="E508" s="349"/>
      <c r="F508" s="347"/>
      <c r="G508" s="30"/>
      <c r="H508" s="30"/>
      <c r="I508" s="30"/>
      <c r="J508" s="30"/>
      <c r="K508" s="30"/>
      <c r="L508" s="30"/>
      <c r="M508" s="30"/>
      <c r="N508" s="30"/>
      <c r="O508" s="154"/>
      <c r="P508" s="154"/>
      <c r="Q508" s="50"/>
      <c r="R508" s="50"/>
      <c r="S508" s="50"/>
      <c r="T508" s="50"/>
      <c r="U508" s="50"/>
      <c r="V508" s="50"/>
      <c r="W508" s="50"/>
      <c r="X508" s="51"/>
      <c r="Y508" s="50"/>
      <c r="Z508" s="30"/>
      <c r="AA508" s="104"/>
      <c r="AB508" s="10"/>
      <c r="AC508" s="60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8"/>
      <c r="BC508" s="147"/>
      <c r="BD508" s="54"/>
      <c r="BE508" s="32"/>
    </row>
    <row r="509" spans="1:57" x14ac:dyDescent="0.3">
      <c r="A509" s="241" t="str">
        <f t="shared" si="9"/>
        <v/>
      </c>
      <c r="B509" s="323"/>
      <c r="C509" s="324"/>
      <c r="D509" s="325"/>
      <c r="E509" s="349"/>
      <c r="F509" s="347"/>
      <c r="G509" s="30"/>
      <c r="H509" s="30"/>
      <c r="I509" s="30"/>
      <c r="J509" s="30"/>
      <c r="K509" s="30"/>
      <c r="L509" s="30"/>
      <c r="M509" s="30"/>
      <c r="N509" s="30"/>
      <c r="O509" s="154"/>
      <c r="P509" s="154"/>
      <c r="Q509" s="50"/>
      <c r="R509" s="50"/>
      <c r="S509" s="50"/>
      <c r="T509" s="50"/>
      <c r="U509" s="50"/>
      <c r="V509" s="50"/>
      <c r="W509" s="50"/>
      <c r="X509" s="51"/>
      <c r="Y509" s="50"/>
      <c r="Z509" s="30"/>
      <c r="AA509" s="104"/>
      <c r="AB509" s="10"/>
      <c r="AC509" s="60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8"/>
      <c r="BC509" s="147"/>
      <c r="BD509" s="54"/>
      <c r="BE509" s="32"/>
    </row>
    <row r="510" spans="1:57" x14ac:dyDescent="0.3">
      <c r="A510" s="241" t="str">
        <f t="shared" si="9"/>
        <v/>
      </c>
      <c r="B510" s="323"/>
      <c r="C510" s="324"/>
      <c r="D510" s="325"/>
      <c r="E510" s="349"/>
      <c r="F510" s="347"/>
      <c r="G510" s="30"/>
      <c r="H510" s="30"/>
      <c r="I510" s="30"/>
      <c r="J510" s="30"/>
      <c r="K510" s="30"/>
      <c r="L510" s="30"/>
      <c r="M510" s="30"/>
      <c r="N510" s="30"/>
      <c r="O510" s="154"/>
      <c r="P510" s="154"/>
      <c r="Q510" s="50"/>
      <c r="R510" s="50"/>
      <c r="S510" s="50"/>
      <c r="T510" s="50"/>
      <c r="U510" s="50"/>
      <c r="V510" s="50"/>
      <c r="W510" s="50"/>
      <c r="X510" s="51"/>
      <c r="Y510" s="50"/>
      <c r="Z510" s="30"/>
      <c r="AA510" s="104"/>
      <c r="AB510" s="10"/>
      <c r="AC510" s="60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8"/>
      <c r="BC510" s="147"/>
      <c r="BD510" s="54"/>
      <c r="BE510" s="32"/>
    </row>
    <row r="511" spans="1:57" x14ac:dyDescent="0.3">
      <c r="A511" s="241" t="str">
        <f t="shared" si="9"/>
        <v/>
      </c>
      <c r="B511" s="323"/>
      <c r="C511" s="324"/>
      <c r="D511" s="325"/>
      <c r="E511" s="349"/>
      <c r="F511" s="347"/>
      <c r="G511" s="30"/>
      <c r="H511" s="30"/>
      <c r="I511" s="30"/>
      <c r="J511" s="30"/>
      <c r="K511" s="30"/>
      <c r="L511" s="30"/>
      <c r="M511" s="30"/>
      <c r="N511" s="30"/>
      <c r="O511" s="154"/>
      <c r="P511" s="154"/>
      <c r="Q511" s="50"/>
      <c r="R511" s="50"/>
      <c r="S511" s="50"/>
      <c r="T511" s="50"/>
      <c r="U511" s="50"/>
      <c r="V511" s="50"/>
      <c r="W511" s="50"/>
      <c r="X511" s="51"/>
      <c r="Y511" s="50"/>
      <c r="Z511" s="30"/>
      <c r="AA511" s="104"/>
      <c r="AB511" s="10"/>
      <c r="AC511" s="60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8"/>
      <c r="BC511" s="147"/>
      <c r="BD511" s="54"/>
      <c r="BE511" s="32"/>
    </row>
    <row r="512" spans="1:57" x14ac:dyDescent="0.3">
      <c r="A512" s="241" t="str">
        <f t="shared" si="9"/>
        <v/>
      </c>
      <c r="B512" s="323"/>
      <c r="C512" s="324"/>
      <c r="D512" s="325"/>
      <c r="E512" s="349"/>
      <c r="F512" s="347"/>
      <c r="G512" s="30"/>
      <c r="H512" s="30"/>
      <c r="I512" s="30"/>
      <c r="J512" s="30"/>
      <c r="K512" s="30"/>
      <c r="L512" s="30"/>
      <c r="M512" s="30"/>
      <c r="N512" s="30"/>
      <c r="O512" s="154"/>
      <c r="P512" s="154"/>
      <c r="Q512" s="50"/>
      <c r="R512" s="50"/>
      <c r="S512" s="50"/>
      <c r="T512" s="50"/>
      <c r="U512" s="50"/>
      <c r="V512" s="50"/>
      <c r="W512" s="50"/>
      <c r="X512" s="51"/>
      <c r="Y512" s="50"/>
      <c r="Z512" s="30"/>
      <c r="AA512" s="104"/>
      <c r="AB512" s="10"/>
      <c r="AC512" s="60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8"/>
      <c r="BC512" s="147"/>
      <c r="BD512" s="54"/>
      <c r="BE512" s="32"/>
    </row>
    <row r="513" spans="1:57" x14ac:dyDescent="0.3">
      <c r="A513" s="241" t="str">
        <f t="shared" si="9"/>
        <v/>
      </c>
      <c r="B513" s="323"/>
      <c r="C513" s="324"/>
      <c r="D513" s="325"/>
      <c r="E513" s="349"/>
      <c r="F513" s="347"/>
      <c r="G513" s="30"/>
      <c r="H513" s="30"/>
      <c r="I513" s="30"/>
      <c r="J513" s="30"/>
      <c r="K513" s="30"/>
      <c r="L513" s="30"/>
      <c r="M513" s="30"/>
      <c r="N513" s="30"/>
      <c r="O513" s="154"/>
      <c r="P513" s="154"/>
      <c r="Q513" s="50"/>
      <c r="R513" s="50"/>
      <c r="S513" s="50"/>
      <c r="T513" s="50"/>
      <c r="U513" s="50"/>
      <c r="V513" s="50"/>
      <c r="W513" s="50"/>
      <c r="X513" s="51"/>
      <c r="Y513" s="50"/>
      <c r="Z513" s="30"/>
      <c r="AA513" s="104"/>
      <c r="AB513" s="10"/>
      <c r="AC513" s="60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8"/>
      <c r="BC513" s="147"/>
      <c r="BD513" s="54"/>
      <c r="BE513" s="32"/>
    </row>
    <row r="514" spans="1:57" x14ac:dyDescent="0.3">
      <c r="A514" s="241" t="str">
        <f t="shared" si="9"/>
        <v/>
      </c>
      <c r="B514" s="323"/>
      <c r="C514" s="324"/>
      <c r="D514" s="325"/>
      <c r="E514" s="349"/>
      <c r="F514" s="347"/>
      <c r="G514" s="30"/>
      <c r="H514" s="30"/>
      <c r="I514" s="30"/>
      <c r="J514" s="30"/>
      <c r="K514" s="30"/>
      <c r="L514" s="30"/>
      <c r="M514" s="30"/>
      <c r="N514" s="30"/>
      <c r="O514" s="154"/>
      <c r="P514" s="154"/>
      <c r="Q514" s="50"/>
      <c r="R514" s="50"/>
      <c r="S514" s="50"/>
      <c r="T514" s="50"/>
      <c r="U514" s="50"/>
      <c r="V514" s="50"/>
      <c r="W514" s="50"/>
      <c r="X514" s="51"/>
      <c r="Y514" s="50"/>
      <c r="Z514" s="30"/>
      <c r="AA514" s="104"/>
      <c r="AB514" s="10"/>
      <c r="AC514" s="60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8"/>
      <c r="BC514" s="147"/>
      <c r="BD514" s="54"/>
      <c r="BE514" s="32"/>
    </row>
    <row r="515" spans="1:57" x14ac:dyDescent="0.3">
      <c r="A515" s="241" t="str">
        <f t="shared" si="9"/>
        <v/>
      </c>
      <c r="B515" s="323"/>
      <c r="C515" s="324"/>
      <c r="D515" s="325"/>
      <c r="E515" s="349"/>
      <c r="F515" s="347"/>
      <c r="G515" s="30"/>
      <c r="H515" s="30"/>
      <c r="I515" s="30"/>
      <c r="J515" s="30"/>
      <c r="K515" s="30"/>
      <c r="L515" s="30"/>
      <c r="M515" s="30"/>
      <c r="N515" s="30"/>
      <c r="O515" s="154"/>
      <c r="P515" s="154"/>
      <c r="Q515" s="50"/>
      <c r="R515" s="50"/>
      <c r="S515" s="50"/>
      <c r="T515" s="50"/>
      <c r="U515" s="50"/>
      <c r="V515" s="50"/>
      <c r="W515" s="50"/>
      <c r="X515" s="51"/>
      <c r="Y515" s="50"/>
      <c r="Z515" s="30"/>
      <c r="AA515" s="104"/>
      <c r="AB515" s="10"/>
      <c r="AC515" s="60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8"/>
      <c r="BC515" s="147"/>
      <c r="BD515" s="54"/>
      <c r="BE515" s="32"/>
    </row>
    <row r="516" spans="1:57" x14ac:dyDescent="0.3">
      <c r="A516" s="241" t="str">
        <f t="shared" si="9"/>
        <v/>
      </c>
      <c r="B516" s="323"/>
      <c r="C516" s="324"/>
      <c r="D516" s="325"/>
      <c r="E516" s="349"/>
      <c r="F516" s="347"/>
      <c r="G516" s="30"/>
      <c r="H516" s="30"/>
      <c r="I516" s="30"/>
      <c r="J516" s="30"/>
      <c r="K516" s="30"/>
      <c r="L516" s="30"/>
      <c r="M516" s="30"/>
      <c r="N516" s="30"/>
      <c r="O516" s="154"/>
      <c r="P516" s="154"/>
      <c r="Q516" s="50"/>
      <c r="R516" s="50"/>
      <c r="S516" s="50"/>
      <c r="T516" s="50"/>
      <c r="U516" s="50"/>
      <c r="V516" s="50"/>
      <c r="W516" s="50"/>
      <c r="X516" s="51"/>
      <c r="Y516" s="50"/>
      <c r="Z516" s="30"/>
      <c r="AA516" s="104"/>
      <c r="AB516" s="10"/>
      <c r="AC516" s="60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8"/>
      <c r="BC516" s="147"/>
      <c r="BD516" s="54"/>
      <c r="BE516" s="32"/>
    </row>
    <row r="517" spans="1:57" x14ac:dyDescent="0.3">
      <c r="A517" s="241" t="str">
        <f t="shared" si="9"/>
        <v/>
      </c>
      <c r="B517" s="323"/>
      <c r="C517" s="324"/>
      <c r="D517" s="325"/>
      <c r="E517" s="349"/>
      <c r="F517" s="347"/>
      <c r="G517" s="30"/>
      <c r="H517" s="30"/>
      <c r="I517" s="30"/>
      <c r="J517" s="30"/>
      <c r="K517" s="30"/>
      <c r="L517" s="30"/>
      <c r="M517" s="30"/>
      <c r="N517" s="30"/>
      <c r="O517" s="154"/>
      <c r="P517" s="154"/>
      <c r="Q517" s="50"/>
      <c r="R517" s="50"/>
      <c r="S517" s="50"/>
      <c r="T517" s="50"/>
      <c r="U517" s="50"/>
      <c r="V517" s="50"/>
      <c r="W517" s="50"/>
      <c r="X517" s="51"/>
      <c r="Y517" s="50"/>
      <c r="Z517" s="30"/>
      <c r="AA517" s="104"/>
      <c r="AB517" s="10"/>
      <c r="AC517" s="60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8"/>
      <c r="BC517" s="147"/>
      <c r="BD517" s="54"/>
      <c r="BE517" s="32"/>
    </row>
    <row r="518" spans="1:57" x14ac:dyDescent="0.3">
      <c r="A518" s="241" t="str">
        <f t="shared" si="9"/>
        <v/>
      </c>
      <c r="B518" s="323"/>
      <c r="C518" s="324"/>
      <c r="D518" s="325"/>
      <c r="E518" s="349"/>
      <c r="F518" s="347"/>
      <c r="G518" s="30"/>
      <c r="H518" s="30"/>
      <c r="I518" s="30"/>
      <c r="J518" s="30"/>
      <c r="K518" s="30"/>
      <c r="L518" s="30"/>
      <c r="M518" s="30"/>
      <c r="N518" s="30"/>
      <c r="O518" s="154"/>
      <c r="P518" s="154"/>
      <c r="Q518" s="50"/>
      <c r="R518" s="50"/>
      <c r="S518" s="50"/>
      <c r="T518" s="50"/>
      <c r="U518" s="50"/>
      <c r="V518" s="50"/>
      <c r="W518" s="50"/>
      <c r="X518" s="51"/>
      <c r="Y518" s="50"/>
      <c r="Z518" s="30"/>
      <c r="AA518" s="104"/>
      <c r="AB518" s="10"/>
      <c r="AC518" s="60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8"/>
      <c r="BC518" s="147"/>
      <c r="BD518" s="54"/>
      <c r="BE518" s="32"/>
    </row>
    <row r="519" spans="1:57" x14ac:dyDescent="0.3">
      <c r="A519" s="241" t="str">
        <f t="shared" si="9"/>
        <v/>
      </c>
      <c r="B519" s="323"/>
      <c r="C519" s="324"/>
      <c r="D519" s="325"/>
      <c r="E519" s="349"/>
      <c r="F519" s="347"/>
      <c r="G519" s="30"/>
      <c r="H519" s="30"/>
      <c r="I519" s="30"/>
      <c r="J519" s="30"/>
      <c r="K519" s="30"/>
      <c r="L519" s="30"/>
      <c r="M519" s="30"/>
      <c r="N519" s="30"/>
      <c r="O519" s="154"/>
      <c r="P519" s="154"/>
      <c r="Q519" s="50"/>
      <c r="R519" s="50"/>
      <c r="S519" s="50"/>
      <c r="T519" s="50"/>
      <c r="U519" s="50"/>
      <c r="V519" s="50"/>
      <c r="W519" s="50"/>
      <c r="X519" s="51"/>
      <c r="Y519" s="50"/>
      <c r="Z519" s="30"/>
      <c r="AA519" s="104"/>
      <c r="AB519" s="10"/>
      <c r="AC519" s="60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8"/>
      <c r="BC519" s="147"/>
      <c r="BD519" s="54"/>
      <c r="BE519" s="32"/>
    </row>
    <row r="520" spans="1:57" x14ac:dyDescent="0.3">
      <c r="A520" s="241" t="str">
        <f t="shared" si="9"/>
        <v/>
      </c>
      <c r="B520" s="323"/>
      <c r="C520" s="324"/>
      <c r="D520" s="325"/>
      <c r="E520" s="349"/>
      <c r="F520" s="347"/>
      <c r="G520" s="30"/>
      <c r="H520" s="30"/>
      <c r="I520" s="30"/>
      <c r="J520" s="30"/>
      <c r="K520" s="30"/>
      <c r="L520" s="30"/>
      <c r="M520" s="30"/>
      <c r="N520" s="30"/>
      <c r="O520" s="154"/>
      <c r="P520" s="154"/>
      <c r="Q520" s="50"/>
      <c r="R520" s="50"/>
      <c r="S520" s="50"/>
      <c r="T520" s="50"/>
      <c r="U520" s="50"/>
      <c r="V520" s="50"/>
      <c r="W520" s="50"/>
      <c r="X520" s="51"/>
      <c r="Y520" s="50"/>
      <c r="Z520" s="30"/>
      <c r="AA520" s="104"/>
      <c r="AB520" s="10"/>
      <c r="AC520" s="60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8"/>
      <c r="BC520" s="147"/>
      <c r="BD520" s="54"/>
      <c r="BE520" s="32"/>
    </row>
    <row r="521" spans="1:57" x14ac:dyDescent="0.3">
      <c r="A521" s="241" t="str">
        <f t="shared" si="9"/>
        <v/>
      </c>
      <c r="B521" s="323"/>
      <c r="C521" s="324"/>
      <c r="D521" s="325"/>
      <c r="E521" s="349"/>
      <c r="F521" s="347"/>
      <c r="G521" s="30"/>
      <c r="H521" s="30"/>
      <c r="I521" s="30"/>
      <c r="J521" s="30"/>
      <c r="K521" s="30"/>
      <c r="L521" s="30"/>
      <c r="M521" s="30"/>
      <c r="N521" s="30"/>
      <c r="O521" s="154"/>
      <c r="P521" s="154"/>
      <c r="Q521" s="50"/>
      <c r="R521" s="50"/>
      <c r="S521" s="50"/>
      <c r="T521" s="50"/>
      <c r="U521" s="50"/>
      <c r="V521" s="50"/>
      <c r="W521" s="50"/>
      <c r="X521" s="51"/>
      <c r="Y521" s="50"/>
      <c r="Z521" s="30"/>
      <c r="AA521" s="104"/>
      <c r="AB521" s="10"/>
      <c r="AC521" s="60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8"/>
      <c r="BC521" s="147"/>
      <c r="BD521" s="54"/>
      <c r="BE521" s="32"/>
    </row>
    <row r="522" spans="1:57" x14ac:dyDescent="0.3">
      <c r="A522" s="241" t="str">
        <f t="shared" si="9"/>
        <v/>
      </c>
      <c r="B522" s="323"/>
      <c r="C522" s="324"/>
      <c r="D522" s="325"/>
      <c r="E522" s="349"/>
      <c r="F522" s="347"/>
      <c r="G522" s="30"/>
      <c r="H522" s="30"/>
      <c r="I522" s="30"/>
      <c r="J522" s="30"/>
      <c r="K522" s="30"/>
      <c r="L522" s="30"/>
      <c r="M522" s="30"/>
      <c r="N522" s="30"/>
      <c r="O522" s="154"/>
      <c r="P522" s="154"/>
      <c r="Q522" s="50"/>
      <c r="R522" s="50"/>
      <c r="S522" s="50"/>
      <c r="T522" s="50"/>
      <c r="U522" s="50"/>
      <c r="V522" s="50"/>
      <c r="W522" s="50"/>
      <c r="X522" s="51"/>
      <c r="Y522" s="50"/>
      <c r="Z522" s="30"/>
      <c r="AA522" s="104"/>
      <c r="AB522" s="10"/>
      <c r="AC522" s="60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8"/>
      <c r="BC522" s="147"/>
      <c r="BD522" s="54"/>
      <c r="BE522" s="32"/>
    </row>
    <row r="523" spans="1:57" x14ac:dyDescent="0.3">
      <c r="A523" s="241" t="str">
        <f t="shared" si="9"/>
        <v/>
      </c>
      <c r="B523" s="323"/>
      <c r="C523" s="324"/>
      <c r="D523" s="325"/>
      <c r="E523" s="349"/>
      <c r="F523" s="347"/>
      <c r="G523" s="30"/>
      <c r="H523" s="30"/>
      <c r="I523" s="30"/>
      <c r="J523" s="30"/>
      <c r="K523" s="30"/>
      <c r="L523" s="30"/>
      <c r="M523" s="30"/>
      <c r="N523" s="30"/>
      <c r="O523" s="154"/>
      <c r="P523" s="154"/>
      <c r="Q523" s="50"/>
      <c r="R523" s="50"/>
      <c r="S523" s="50"/>
      <c r="T523" s="50"/>
      <c r="U523" s="50"/>
      <c r="V523" s="50"/>
      <c r="W523" s="50"/>
      <c r="X523" s="51"/>
      <c r="Y523" s="50"/>
      <c r="Z523" s="30"/>
      <c r="AA523" s="104"/>
      <c r="AB523" s="10"/>
      <c r="AC523" s="60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8"/>
      <c r="BC523" s="147"/>
      <c r="BD523" s="54"/>
      <c r="BE523" s="32"/>
    </row>
    <row r="524" spans="1:57" x14ac:dyDescent="0.3">
      <c r="A524" s="241" t="str">
        <f t="shared" si="9"/>
        <v/>
      </c>
      <c r="B524" s="323"/>
      <c r="C524" s="324"/>
      <c r="D524" s="325"/>
      <c r="E524" s="349"/>
      <c r="F524" s="347"/>
      <c r="G524" s="30"/>
      <c r="H524" s="30"/>
      <c r="I524" s="30"/>
      <c r="J524" s="30"/>
      <c r="K524" s="30"/>
      <c r="L524" s="30"/>
      <c r="M524" s="30"/>
      <c r="N524" s="30"/>
      <c r="O524" s="154"/>
      <c r="P524" s="154"/>
      <c r="Q524" s="50"/>
      <c r="R524" s="50"/>
      <c r="S524" s="50"/>
      <c r="T524" s="50"/>
      <c r="U524" s="50"/>
      <c r="V524" s="50"/>
      <c r="W524" s="50"/>
      <c r="X524" s="51"/>
      <c r="Y524" s="50"/>
      <c r="Z524" s="30"/>
      <c r="AA524" s="104"/>
      <c r="AB524" s="10"/>
      <c r="AC524" s="60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8"/>
      <c r="BC524" s="147"/>
      <c r="BD524" s="54"/>
      <c r="BE524" s="32"/>
    </row>
    <row r="525" spans="1:57" x14ac:dyDescent="0.3">
      <c r="A525" s="241" t="str">
        <f t="shared" si="9"/>
        <v/>
      </c>
      <c r="B525" s="323"/>
      <c r="C525" s="324"/>
      <c r="D525" s="325"/>
      <c r="E525" s="349"/>
      <c r="F525" s="347"/>
      <c r="G525" s="30"/>
      <c r="H525" s="30"/>
      <c r="I525" s="30"/>
      <c r="J525" s="30"/>
      <c r="K525" s="30"/>
      <c r="L525" s="30"/>
      <c r="M525" s="30"/>
      <c r="N525" s="30"/>
      <c r="O525" s="154"/>
      <c r="P525" s="154"/>
      <c r="Q525" s="50"/>
      <c r="R525" s="50"/>
      <c r="S525" s="50"/>
      <c r="T525" s="50"/>
      <c r="U525" s="50"/>
      <c r="V525" s="50"/>
      <c r="W525" s="50"/>
      <c r="X525" s="51"/>
      <c r="Y525" s="50"/>
      <c r="Z525" s="30"/>
      <c r="AA525" s="104"/>
      <c r="AB525" s="10"/>
      <c r="AC525" s="60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8"/>
      <c r="BC525" s="147"/>
      <c r="BD525" s="54"/>
      <c r="BE525" s="32"/>
    </row>
    <row r="526" spans="1:57" x14ac:dyDescent="0.3">
      <c r="A526" s="241" t="str">
        <f t="shared" si="9"/>
        <v/>
      </c>
      <c r="B526" s="323"/>
      <c r="C526" s="324"/>
      <c r="D526" s="325"/>
      <c r="E526" s="349"/>
      <c r="F526" s="347"/>
      <c r="G526" s="30"/>
      <c r="H526" s="30"/>
      <c r="I526" s="30"/>
      <c r="J526" s="30"/>
      <c r="K526" s="30"/>
      <c r="L526" s="30"/>
      <c r="M526" s="30"/>
      <c r="N526" s="30"/>
      <c r="O526" s="154"/>
      <c r="P526" s="154"/>
      <c r="Q526" s="50"/>
      <c r="R526" s="50"/>
      <c r="S526" s="50"/>
      <c r="T526" s="50"/>
      <c r="U526" s="50"/>
      <c r="V526" s="50"/>
      <c r="W526" s="50"/>
      <c r="X526" s="51"/>
      <c r="Y526" s="50"/>
      <c r="Z526" s="30"/>
      <c r="AA526" s="104"/>
      <c r="AB526" s="10"/>
      <c r="AC526" s="60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8"/>
      <c r="BC526" s="147"/>
      <c r="BD526" s="54"/>
      <c r="BE526" s="32"/>
    </row>
    <row r="527" spans="1:57" x14ac:dyDescent="0.3">
      <c r="A527" s="241" t="str">
        <f t="shared" si="9"/>
        <v/>
      </c>
      <c r="B527" s="323"/>
      <c r="C527" s="324"/>
      <c r="D527" s="325"/>
      <c r="E527" s="349"/>
      <c r="F527" s="347"/>
      <c r="G527" s="30"/>
      <c r="H527" s="30"/>
      <c r="I527" s="30"/>
      <c r="J527" s="30"/>
      <c r="K527" s="30"/>
      <c r="L527" s="30"/>
      <c r="M527" s="30"/>
      <c r="N527" s="30"/>
      <c r="O527" s="154"/>
      <c r="P527" s="154"/>
      <c r="Q527" s="50"/>
      <c r="R527" s="50"/>
      <c r="S527" s="50"/>
      <c r="T527" s="50"/>
      <c r="U527" s="50"/>
      <c r="V527" s="50"/>
      <c r="W527" s="50"/>
      <c r="X527" s="51"/>
      <c r="Y527" s="50"/>
      <c r="Z527" s="30"/>
      <c r="AA527" s="104"/>
      <c r="AB527" s="10"/>
      <c r="AC527" s="60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8"/>
      <c r="BC527" s="147"/>
      <c r="BD527" s="54"/>
      <c r="BE527" s="32"/>
    </row>
    <row r="528" spans="1:57" x14ac:dyDescent="0.3">
      <c r="A528" s="241" t="str">
        <f t="shared" si="9"/>
        <v/>
      </c>
      <c r="B528" s="323"/>
      <c r="C528" s="324"/>
      <c r="D528" s="325"/>
      <c r="E528" s="349"/>
      <c r="F528" s="347"/>
      <c r="G528" s="30"/>
      <c r="H528" s="30"/>
      <c r="I528" s="30"/>
      <c r="J528" s="30"/>
      <c r="K528" s="30"/>
      <c r="L528" s="30"/>
      <c r="M528" s="30"/>
      <c r="N528" s="30"/>
      <c r="O528" s="154"/>
      <c r="P528" s="154"/>
      <c r="Q528" s="50"/>
      <c r="R528" s="50"/>
      <c r="S528" s="50"/>
      <c r="T528" s="50"/>
      <c r="U528" s="50"/>
      <c r="V528" s="50"/>
      <c r="W528" s="50"/>
      <c r="X528" s="51"/>
      <c r="Y528" s="50"/>
      <c r="Z528" s="30"/>
      <c r="AA528" s="104"/>
      <c r="AB528" s="10"/>
      <c r="AC528" s="60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8"/>
      <c r="BC528" s="147"/>
      <c r="BD528" s="54"/>
      <c r="BE528" s="32"/>
    </row>
    <row r="529" spans="1:57" x14ac:dyDescent="0.3">
      <c r="A529" s="241" t="str">
        <f t="shared" si="9"/>
        <v/>
      </c>
      <c r="B529" s="323"/>
      <c r="C529" s="324"/>
      <c r="D529" s="325"/>
      <c r="E529" s="349"/>
      <c r="F529" s="347"/>
      <c r="G529" s="30"/>
      <c r="H529" s="30"/>
      <c r="I529" s="30"/>
      <c r="J529" s="30"/>
      <c r="K529" s="30"/>
      <c r="L529" s="30"/>
      <c r="M529" s="30"/>
      <c r="N529" s="30"/>
      <c r="O529" s="154"/>
      <c r="P529" s="154"/>
      <c r="Q529" s="50"/>
      <c r="R529" s="50"/>
      <c r="S529" s="50"/>
      <c r="T529" s="50"/>
      <c r="U529" s="50"/>
      <c r="V529" s="50"/>
      <c r="W529" s="50"/>
      <c r="X529" s="51"/>
      <c r="Y529" s="50"/>
      <c r="Z529" s="30"/>
      <c r="AA529" s="104"/>
      <c r="AB529" s="10"/>
      <c r="AC529" s="60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8"/>
      <c r="BC529" s="147"/>
      <c r="BD529" s="54"/>
      <c r="BE529" s="32"/>
    </row>
    <row r="530" spans="1:57" x14ac:dyDescent="0.3">
      <c r="A530" s="241" t="str">
        <f t="shared" si="9"/>
        <v/>
      </c>
      <c r="B530" s="323"/>
      <c r="C530" s="324"/>
      <c r="D530" s="325"/>
      <c r="E530" s="349"/>
      <c r="F530" s="347"/>
      <c r="G530" s="30"/>
      <c r="H530" s="30"/>
      <c r="I530" s="30"/>
      <c r="J530" s="30"/>
      <c r="K530" s="30"/>
      <c r="L530" s="30"/>
      <c r="M530" s="30"/>
      <c r="N530" s="30"/>
      <c r="O530" s="154"/>
      <c r="P530" s="154"/>
      <c r="Q530" s="50"/>
      <c r="R530" s="50"/>
      <c r="S530" s="50"/>
      <c r="T530" s="50"/>
      <c r="U530" s="50"/>
      <c r="V530" s="50"/>
      <c r="W530" s="50"/>
      <c r="X530" s="51"/>
      <c r="Y530" s="50"/>
      <c r="Z530" s="30"/>
      <c r="AA530" s="104"/>
      <c r="AB530" s="10"/>
      <c r="AC530" s="60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8"/>
      <c r="BC530" s="147"/>
      <c r="BD530" s="54"/>
      <c r="BE530" s="32"/>
    </row>
    <row r="531" spans="1:57" x14ac:dyDescent="0.3">
      <c r="A531" s="241" t="str">
        <f t="shared" si="9"/>
        <v/>
      </c>
      <c r="B531" s="323"/>
      <c r="C531" s="324"/>
      <c r="D531" s="325"/>
      <c r="E531" s="349"/>
      <c r="F531" s="347"/>
      <c r="G531" s="30"/>
      <c r="H531" s="30"/>
      <c r="I531" s="30"/>
      <c r="J531" s="30"/>
      <c r="K531" s="30"/>
      <c r="L531" s="30"/>
      <c r="M531" s="30"/>
      <c r="N531" s="30"/>
      <c r="O531" s="154"/>
      <c r="P531" s="154"/>
      <c r="Q531" s="50"/>
      <c r="R531" s="50"/>
      <c r="S531" s="50"/>
      <c r="T531" s="50"/>
      <c r="U531" s="50"/>
      <c r="V531" s="50"/>
      <c r="W531" s="50"/>
      <c r="X531" s="51"/>
      <c r="Y531" s="50"/>
      <c r="Z531" s="30"/>
      <c r="AA531" s="104"/>
      <c r="AB531" s="10"/>
      <c r="AC531" s="60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8"/>
      <c r="BC531" s="147"/>
      <c r="BD531" s="54"/>
      <c r="BE531" s="32"/>
    </row>
    <row r="532" spans="1:57" x14ac:dyDescent="0.3">
      <c r="A532" s="241" t="str">
        <f t="shared" si="9"/>
        <v/>
      </c>
      <c r="B532" s="323"/>
      <c r="C532" s="324"/>
      <c r="D532" s="325"/>
      <c r="E532" s="349"/>
      <c r="F532" s="347"/>
      <c r="G532" s="30"/>
      <c r="H532" s="30"/>
      <c r="I532" s="30"/>
      <c r="J532" s="30"/>
      <c r="K532" s="30"/>
      <c r="L532" s="30"/>
      <c r="M532" s="30"/>
      <c r="N532" s="30"/>
      <c r="O532" s="154"/>
      <c r="P532" s="154"/>
      <c r="Q532" s="50"/>
      <c r="R532" s="50"/>
      <c r="S532" s="50"/>
      <c r="T532" s="50"/>
      <c r="U532" s="50"/>
      <c r="V532" s="50"/>
      <c r="W532" s="50"/>
      <c r="X532" s="51"/>
      <c r="Y532" s="50"/>
      <c r="Z532" s="30"/>
      <c r="AA532" s="104"/>
      <c r="AB532" s="10"/>
      <c r="AC532" s="60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8"/>
      <c r="BC532" s="147"/>
      <c r="BD532" s="54"/>
      <c r="BE532" s="32"/>
    </row>
    <row r="533" spans="1:57" x14ac:dyDescent="0.3">
      <c r="A533" s="241" t="str">
        <f t="shared" ref="A533:A596" si="10">CONCATENATE(B533,C533)</f>
        <v/>
      </c>
      <c r="B533" s="323"/>
      <c r="C533" s="324"/>
      <c r="D533" s="325"/>
      <c r="E533" s="349"/>
      <c r="F533" s="347"/>
      <c r="G533" s="30"/>
      <c r="H533" s="30"/>
      <c r="I533" s="30"/>
      <c r="J533" s="30"/>
      <c r="K533" s="30"/>
      <c r="L533" s="30"/>
      <c r="M533" s="30"/>
      <c r="N533" s="30"/>
      <c r="O533" s="154"/>
      <c r="P533" s="154"/>
      <c r="Q533" s="50"/>
      <c r="R533" s="50"/>
      <c r="S533" s="50"/>
      <c r="T533" s="50"/>
      <c r="U533" s="50"/>
      <c r="V533" s="50"/>
      <c r="W533" s="50"/>
      <c r="X533" s="51"/>
      <c r="Y533" s="50"/>
      <c r="Z533" s="30"/>
      <c r="AA533" s="104"/>
      <c r="AB533" s="10"/>
      <c r="AC533" s="60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8"/>
      <c r="BC533" s="147"/>
      <c r="BD533" s="54"/>
      <c r="BE533" s="32"/>
    </row>
    <row r="534" spans="1:57" x14ac:dyDescent="0.3">
      <c r="A534" s="241" t="str">
        <f t="shared" si="10"/>
        <v/>
      </c>
      <c r="B534" s="323"/>
      <c r="C534" s="324"/>
      <c r="D534" s="325"/>
      <c r="E534" s="349"/>
      <c r="F534" s="347"/>
      <c r="G534" s="30"/>
      <c r="H534" s="30"/>
      <c r="I534" s="30"/>
      <c r="J534" s="30"/>
      <c r="K534" s="30"/>
      <c r="L534" s="30"/>
      <c r="M534" s="30"/>
      <c r="N534" s="30"/>
      <c r="O534" s="154"/>
      <c r="P534" s="154"/>
      <c r="Q534" s="50"/>
      <c r="R534" s="50"/>
      <c r="S534" s="50"/>
      <c r="T534" s="50"/>
      <c r="U534" s="50"/>
      <c r="V534" s="50"/>
      <c r="W534" s="50"/>
      <c r="X534" s="51"/>
      <c r="Y534" s="50"/>
      <c r="Z534" s="30"/>
      <c r="AA534" s="104"/>
      <c r="AB534" s="10"/>
      <c r="AC534" s="60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8"/>
      <c r="BC534" s="147"/>
      <c r="BD534" s="54"/>
      <c r="BE534" s="32"/>
    </row>
    <row r="535" spans="1:57" x14ac:dyDescent="0.3">
      <c r="A535" s="241" t="str">
        <f t="shared" si="10"/>
        <v/>
      </c>
      <c r="B535" s="323"/>
      <c r="C535" s="324"/>
      <c r="D535" s="325"/>
      <c r="E535" s="349"/>
      <c r="F535" s="347"/>
      <c r="G535" s="30"/>
      <c r="H535" s="30"/>
      <c r="I535" s="30"/>
      <c r="J535" s="30"/>
      <c r="K535" s="30"/>
      <c r="L535" s="30"/>
      <c r="M535" s="30"/>
      <c r="N535" s="30"/>
      <c r="O535" s="154"/>
      <c r="P535" s="154"/>
      <c r="Q535" s="50"/>
      <c r="R535" s="50"/>
      <c r="S535" s="50"/>
      <c r="T535" s="50"/>
      <c r="U535" s="50"/>
      <c r="V535" s="50"/>
      <c r="W535" s="50"/>
      <c r="X535" s="51"/>
      <c r="Y535" s="50"/>
      <c r="Z535" s="30"/>
      <c r="AA535" s="104"/>
      <c r="AB535" s="10"/>
      <c r="AC535" s="60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8"/>
      <c r="BC535" s="147"/>
      <c r="BD535" s="54"/>
      <c r="BE535" s="32"/>
    </row>
    <row r="536" spans="1:57" x14ac:dyDescent="0.3">
      <c r="A536" s="241" t="str">
        <f t="shared" si="10"/>
        <v/>
      </c>
      <c r="B536" s="323"/>
      <c r="C536" s="324"/>
      <c r="D536" s="325"/>
      <c r="E536" s="349"/>
      <c r="F536" s="347"/>
      <c r="G536" s="30"/>
      <c r="H536" s="30"/>
      <c r="I536" s="30"/>
      <c r="J536" s="30"/>
      <c r="K536" s="30"/>
      <c r="L536" s="30"/>
      <c r="M536" s="30"/>
      <c r="N536" s="30"/>
      <c r="O536" s="154"/>
      <c r="P536" s="154"/>
      <c r="Q536" s="50"/>
      <c r="R536" s="50"/>
      <c r="S536" s="50"/>
      <c r="T536" s="50"/>
      <c r="U536" s="50"/>
      <c r="V536" s="50"/>
      <c r="W536" s="50"/>
      <c r="X536" s="51"/>
      <c r="Y536" s="50"/>
      <c r="Z536" s="30"/>
      <c r="AA536" s="104"/>
      <c r="AB536" s="10"/>
      <c r="AC536" s="60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8"/>
      <c r="BC536" s="147"/>
      <c r="BD536" s="54"/>
      <c r="BE536" s="32"/>
    </row>
    <row r="537" spans="1:57" x14ac:dyDescent="0.3">
      <c r="A537" s="241" t="str">
        <f t="shared" si="10"/>
        <v/>
      </c>
      <c r="B537" s="323"/>
      <c r="C537" s="324"/>
      <c r="D537" s="325"/>
      <c r="E537" s="349"/>
      <c r="F537" s="347"/>
      <c r="G537" s="30"/>
      <c r="H537" s="30"/>
      <c r="I537" s="30"/>
      <c r="J537" s="30"/>
      <c r="K537" s="30"/>
      <c r="L537" s="30"/>
      <c r="M537" s="30"/>
      <c r="N537" s="30"/>
      <c r="O537" s="154"/>
      <c r="P537" s="154"/>
      <c r="Q537" s="50"/>
      <c r="R537" s="50"/>
      <c r="S537" s="50"/>
      <c r="T537" s="50"/>
      <c r="U537" s="50"/>
      <c r="V537" s="50"/>
      <c r="W537" s="50"/>
      <c r="X537" s="51"/>
      <c r="Y537" s="50"/>
      <c r="Z537" s="30"/>
      <c r="AA537" s="104"/>
      <c r="AB537" s="10"/>
      <c r="AC537" s="60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8"/>
      <c r="BC537" s="147"/>
      <c r="BD537" s="54"/>
      <c r="BE537" s="32"/>
    </row>
    <row r="538" spans="1:57" x14ac:dyDescent="0.3">
      <c r="A538" s="241" t="str">
        <f t="shared" si="10"/>
        <v/>
      </c>
      <c r="B538" s="323"/>
      <c r="C538" s="324"/>
      <c r="D538" s="325"/>
      <c r="E538" s="349"/>
      <c r="F538" s="347"/>
      <c r="G538" s="30"/>
      <c r="H538" s="30"/>
      <c r="I538" s="30"/>
      <c r="J538" s="30"/>
      <c r="K538" s="30"/>
      <c r="L538" s="30"/>
      <c r="M538" s="30"/>
      <c r="N538" s="30"/>
      <c r="O538" s="154"/>
      <c r="P538" s="154"/>
      <c r="Q538" s="50"/>
      <c r="R538" s="50"/>
      <c r="S538" s="50"/>
      <c r="T538" s="50"/>
      <c r="U538" s="50"/>
      <c r="V538" s="50"/>
      <c r="W538" s="50"/>
      <c r="X538" s="51"/>
      <c r="Y538" s="50"/>
      <c r="Z538" s="30"/>
      <c r="AA538" s="104"/>
      <c r="AB538" s="10"/>
      <c r="AC538" s="60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8"/>
      <c r="BC538" s="147"/>
      <c r="BD538" s="54"/>
      <c r="BE538" s="32"/>
    </row>
    <row r="539" spans="1:57" x14ac:dyDescent="0.3">
      <c r="A539" s="241" t="str">
        <f t="shared" si="10"/>
        <v/>
      </c>
      <c r="B539" s="323"/>
      <c r="C539" s="324"/>
      <c r="D539" s="325"/>
      <c r="E539" s="349"/>
      <c r="F539" s="347"/>
      <c r="G539" s="30"/>
      <c r="H539" s="30"/>
      <c r="I539" s="30"/>
      <c r="J539" s="30"/>
      <c r="K539" s="30"/>
      <c r="L539" s="30"/>
      <c r="M539" s="30"/>
      <c r="N539" s="30"/>
      <c r="O539" s="154"/>
      <c r="P539" s="154"/>
      <c r="Q539" s="50"/>
      <c r="R539" s="50"/>
      <c r="S539" s="50"/>
      <c r="T539" s="50"/>
      <c r="U539" s="50"/>
      <c r="V539" s="50"/>
      <c r="W539" s="50"/>
      <c r="X539" s="51"/>
      <c r="Y539" s="50"/>
      <c r="Z539" s="30"/>
      <c r="AA539" s="104"/>
      <c r="AB539" s="10"/>
      <c r="AC539" s="60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8"/>
      <c r="BC539" s="147"/>
      <c r="BD539" s="54"/>
      <c r="BE539" s="32"/>
    </row>
    <row r="540" spans="1:57" x14ac:dyDescent="0.3">
      <c r="A540" s="241" t="str">
        <f t="shared" si="10"/>
        <v/>
      </c>
      <c r="B540" s="323"/>
      <c r="C540" s="324"/>
      <c r="D540" s="325"/>
      <c r="E540" s="349"/>
      <c r="F540" s="347"/>
      <c r="G540" s="30"/>
      <c r="H540" s="30"/>
      <c r="I540" s="30"/>
      <c r="J540" s="30"/>
      <c r="K540" s="30"/>
      <c r="L540" s="30"/>
      <c r="M540" s="30"/>
      <c r="N540" s="30"/>
      <c r="O540" s="154"/>
      <c r="P540" s="154"/>
      <c r="Q540" s="50"/>
      <c r="R540" s="50"/>
      <c r="S540" s="50"/>
      <c r="T540" s="50"/>
      <c r="U540" s="50"/>
      <c r="V540" s="50"/>
      <c r="W540" s="50"/>
      <c r="X540" s="51"/>
      <c r="Y540" s="50"/>
      <c r="Z540" s="30"/>
      <c r="AA540" s="104"/>
      <c r="AB540" s="10"/>
      <c r="AC540" s="60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8"/>
      <c r="BC540" s="147"/>
      <c r="BD540" s="54"/>
      <c r="BE540" s="32"/>
    </row>
    <row r="541" spans="1:57" x14ac:dyDescent="0.3">
      <c r="A541" s="241" t="str">
        <f t="shared" si="10"/>
        <v/>
      </c>
      <c r="B541" s="323"/>
      <c r="C541" s="324"/>
      <c r="D541" s="325"/>
      <c r="E541" s="349"/>
      <c r="F541" s="347"/>
      <c r="G541" s="30"/>
      <c r="H541" s="30"/>
      <c r="I541" s="30"/>
      <c r="J541" s="30"/>
      <c r="K541" s="30"/>
      <c r="L541" s="30"/>
      <c r="M541" s="30"/>
      <c r="N541" s="30"/>
      <c r="O541" s="154"/>
      <c r="P541" s="154"/>
      <c r="Q541" s="50"/>
      <c r="R541" s="50"/>
      <c r="S541" s="50"/>
      <c r="T541" s="50"/>
      <c r="U541" s="50"/>
      <c r="V541" s="50"/>
      <c r="W541" s="50"/>
      <c r="X541" s="51"/>
      <c r="Y541" s="50"/>
      <c r="Z541" s="30"/>
      <c r="AA541" s="104"/>
      <c r="AB541" s="10"/>
      <c r="AC541" s="60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8"/>
      <c r="BC541" s="147"/>
      <c r="BD541" s="54"/>
      <c r="BE541" s="32"/>
    </row>
    <row r="542" spans="1:57" x14ac:dyDescent="0.3">
      <c r="A542" s="241" t="str">
        <f t="shared" si="10"/>
        <v/>
      </c>
      <c r="B542" s="323"/>
      <c r="C542" s="324"/>
      <c r="D542" s="325"/>
      <c r="E542" s="349"/>
      <c r="F542" s="347"/>
      <c r="G542" s="30"/>
      <c r="H542" s="30"/>
      <c r="I542" s="30"/>
      <c r="J542" s="30"/>
      <c r="K542" s="30"/>
      <c r="L542" s="30"/>
      <c r="M542" s="30"/>
      <c r="N542" s="30"/>
      <c r="O542" s="154"/>
      <c r="P542" s="154"/>
      <c r="Q542" s="50"/>
      <c r="R542" s="50"/>
      <c r="S542" s="50"/>
      <c r="T542" s="50"/>
      <c r="U542" s="50"/>
      <c r="V542" s="50"/>
      <c r="W542" s="50"/>
      <c r="X542" s="51"/>
      <c r="Y542" s="50"/>
      <c r="Z542" s="30"/>
      <c r="AA542" s="104"/>
      <c r="AB542" s="10"/>
      <c r="AC542" s="60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8"/>
      <c r="BC542" s="147"/>
      <c r="BD542" s="54"/>
      <c r="BE542" s="32"/>
    </row>
    <row r="543" spans="1:57" x14ac:dyDescent="0.3">
      <c r="A543" s="241" t="str">
        <f t="shared" si="10"/>
        <v/>
      </c>
      <c r="B543" s="323"/>
      <c r="C543" s="324"/>
      <c r="D543" s="325"/>
      <c r="E543" s="349"/>
      <c r="F543" s="347"/>
      <c r="G543" s="30"/>
      <c r="H543" s="30"/>
      <c r="I543" s="30"/>
      <c r="J543" s="30"/>
      <c r="K543" s="30"/>
      <c r="L543" s="30"/>
      <c r="M543" s="30"/>
      <c r="N543" s="30"/>
      <c r="O543" s="154"/>
      <c r="P543" s="154"/>
      <c r="Q543" s="50"/>
      <c r="R543" s="50"/>
      <c r="S543" s="50"/>
      <c r="T543" s="50"/>
      <c r="U543" s="50"/>
      <c r="V543" s="50"/>
      <c r="W543" s="50"/>
      <c r="X543" s="51"/>
      <c r="Y543" s="50"/>
      <c r="Z543" s="30"/>
      <c r="AA543" s="104"/>
      <c r="AB543" s="10"/>
      <c r="AC543" s="60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8"/>
      <c r="BC543" s="147"/>
      <c r="BD543" s="54"/>
      <c r="BE543" s="32"/>
    </row>
    <row r="544" spans="1:57" x14ac:dyDescent="0.3">
      <c r="A544" s="241" t="str">
        <f t="shared" si="10"/>
        <v/>
      </c>
      <c r="B544" s="323"/>
      <c r="C544" s="324"/>
      <c r="D544" s="325"/>
      <c r="E544" s="349"/>
      <c r="F544" s="347"/>
      <c r="G544" s="30"/>
      <c r="H544" s="30"/>
      <c r="I544" s="30"/>
      <c r="J544" s="30"/>
      <c r="K544" s="30"/>
      <c r="L544" s="30"/>
      <c r="M544" s="30"/>
      <c r="N544" s="30"/>
      <c r="O544" s="154"/>
      <c r="P544" s="154"/>
      <c r="Q544" s="50"/>
      <c r="R544" s="50"/>
      <c r="S544" s="50"/>
      <c r="T544" s="50"/>
      <c r="U544" s="50"/>
      <c r="V544" s="50"/>
      <c r="W544" s="50"/>
      <c r="X544" s="51"/>
      <c r="Y544" s="50"/>
      <c r="Z544" s="30"/>
      <c r="AA544" s="104"/>
      <c r="AB544" s="10"/>
      <c r="AC544" s="60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8"/>
      <c r="BC544" s="147"/>
      <c r="BD544" s="54"/>
      <c r="BE544" s="32"/>
    </row>
    <row r="545" spans="1:57" x14ac:dyDescent="0.3">
      <c r="A545" s="241" t="str">
        <f t="shared" si="10"/>
        <v/>
      </c>
      <c r="B545" s="323"/>
      <c r="C545" s="324"/>
      <c r="D545" s="325"/>
      <c r="E545" s="349"/>
      <c r="F545" s="347"/>
      <c r="G545" s="30"/>
      <c r="H545" s="30"/>
      <c r="I545" s="30"/>
      <c r="J545" s="30"/>
      <c r="K545" s="30"/>
      <c r="L545" s="30"/>
      <c r="M545" s="30"/>
      <c r="N545" s="30"/>
      <c r="O545" s="154"/>
      <c r="P545" s="154"/>
      <c r="Q545" s="50"/>
      <c r="R545" s="50"/>
      <c r="S545" s="50"/>
      <c r="T545" s="50"/>
      <c r="U545" s="50"/>
      <c r="V545" s="50"/>
      <c r="W545" s="50"/>
      <c r="X545" s="51"/>
      <c r="Y545" s="50"/>
      <c r="Z545" s="30"/>
      <c r="AA545" s="104"/>
      <c r="AB545" s="10"/>
      <c r="AC545" s="60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8"/>
      <c r="BC545" s="147"/>
      <c r="BD545" s="54"/>
      <c r="BE545" s="32"/>
    </row>
    <row r="546" spans="1:57" x14ac:dyDescent="0.3">
      <c r="A546" s="241" t="str">
        <f t="shared" si="10"/>
        <v/>
      </c>
      <c r="B546" s="323"/>
      <c r="C546" s="324"/>
      <c r="D546" s="325"/>
      <c r="E546" s="349"/>
      <c r="F546" s="347"/>
      <c r="G546" s="30"/>
      <c r="H546" s="30"/>
      <c r="I546" s="30"/>
      <c r="J546" s="30"/>
      <c r="K546" s="30"/>
      <c r="L546" s="30"/>
      <c r="M546" s="30"/>
      <c r="N546" s="30"/>
      <c r="O546" s="154"/>
      <c r="P546" s="154"/>
      <c r="Q546" s="50"/>
      <c r="R546" s="50"/>
      <c r="S546" s="50"/>
      <c r="T546" s="50"/>
      <c r="U546" s="50"/>
      <c r="V546" s="50"/>
      <c r="W546" s="50"/>
      <c r="X546" s="51"/>
      <c r="Y546" s="50"/>
      <c r="Z546" s="30"/>
      <c r="AA546" s="104"/>
      <c r="AB546" s="10"/>
      <c r="AC546" s="60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8"/>
      <c r="BC546" s="147"/>
      <c r="BD546" s="54"/>
      <c r="BE546" s="32"/>
    </row>
    <row r="547" spans="1:57" x14ac:dyDescent="0.3">
      <c r="A547" s="241" t="str">
        <f t="shared" si="10"/>
        <v/>
      </c>
      <c r="B547" s="323"/>
      <c r="C547" s="324"/>
      <c r="D547" s="325"/>
      <c r="E547" s="349"/>
      <c r="F547" s="347"/>
      <c r="G547" s="30"/>
      <c r="H547" s="30"/>
      <c r="I547" s="30"/>
      <c r="J547" s="30"/>
      <c r="K547" s="30"/>
      <c r="L547" s="30"/>
      <c r="M547" s="30"/>
      <c r="N547" s="30"/>
      <c r="O547" s="154"/>
      <c r="P547" s="154"/>
      <c r="Q547" s="50"/>
      <c r="R547" s="50"/>
      <c r="S547" s="50"/>
      <c r="T547" s="50"/>
      <c r="U547" s="50"/>
      <c r="V547" s="50"/>
      <c r="W547" s="50"/>
      <c r="X547" s="51"/>
      <c r="Y547" s="50"/>
      <c r="Z547" s="30"/>
      <c r="AA547" s="104"/>
      <c r="AB547" s="10"/>
      <c r="AC547" s="60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8"/>
      <c r="BC547" s="147"/>
      <c r="BD547" s="54"/>
      <c r="BE547" s="32"/>
    </row>
    <row r="548" spans="1:57" x14ac:dyDescent="0.3">
      <c r="A548" s="241" t="str">
        <f t="shared" si="10"/>
        <v/>
      </c>
      <c r="B548" s="323"/>
      <c r="C548" s="324"/>
      <c r="D548" s="325"/>
      <c r="E548" s="349"/>
      <c r="F548" s="347"/>
      <c r="G548" s="30"/>
      <c r="H548" s="30"/>
      <c r="I548" s="30"/>
      <c r="J548" s="30"/>
      <c r="K548" s="30"/>
      <c r="L548" s="30"/>
      <c r="M548" s="30"/>
      <c r="N548" s="30"/>
      <c r="O548" s="154"/>
      <c r="P548" s="154"/>
      <c r="Q548" s="50"/>
      <c r="R548" s="50"/>
      <c r="S548" s="50"/>
      <c r="T548" s="50"/>
      <c r="U548" s="50"/>
      <c r="V548" s="50"/>
      <c r="W548" s="50"/>
      <c r="X548" s="51"/>
      <c r="Y548" s="50"/>
      <c r="Z548" s="30"/>
      <c r="AA548" s="104"/>
      <c r="AB548" s="10"/>
      <c r="AC548" s="60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8"/>
      <c r="BC548" s="147"/>
      <c r="BD548" s="54"/>
      <c r="BE548" s="32"/>
    </row>
    <row r="549" spans="1:57" x14ac:dyDescent="0.3">
      <c r="A549" s="241" t="str">
        <f t="shared" si="10"/>
        <v/>
      </c>
      <c r="B549" s="323"/>
      <c r="C549" s="324"/>
      <c r="D549" s="325"/>
      <c r="E549" s="349"/>
      <c r="F549" s="347"/>
      <c r="G549" s="30"/>
      <c r="H549" s="30"/>
      <c r="I549" s="30"/>
      <c r="J549" s="30"/>
      <c r="K549" s="30"/>
      <c r="L549" s="30"/>
      <c r="M549" s="30"/>
      <c r="N549" s="30"/>
      <c r="O549" s="154"/>
      <c r="P549" s="154"/>
      <c r="Q549" s="50"/>
      <c r="R549" s="50"/>
      <c r="S549" s="50"/>
      <c r="T549" s="50"/>
      <c r="U549" s="50"/>
      <c r="V549" s="50"/>
      <c r="W549" s="50"/>
      <c r="X549" s="51"/>
      <c r="Y549" s="50"/>
      <c r="Z549" s="30"/>
      <c r="AA549" s="104"/>
      <c r="AB549" s="10"/>
      <c r="AC549" s="60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8"/>
      <c r="BC549" s="147"/>
      <c r="BD549" s="54"/>
      <c r="BE549" s="32"/>
    </row>
    <row r="550" spans="1:57" x14ac:dyDescent="0.3">
      <c r="A550" s="241" t="str">
        <f t="shared" si="10"/>
        <v/>
      </c>
      <c r="B550" s="323"/>
      <c r="C550" s="324"/>
      <c r="D550" s="325"/>
      <c r="E550" s="349"/>
      <c r="F550" s="347"/>
      <c r="G550" s="30"/>
      <c r="H550" s="30"/>
      <c r="I550" s="30"/>
      <c r="J550" s="30"/>
      <c r="K550" s="30"/>
      <c r="L550" s="30"/>
      <c r="M550" s="30"/>
      <c r="N550" s="30"/>
      <c r="O550" s="154"/>
      <c r="P550" s="154"/>
      <c r="Q550" s="50"/>
      <c r="R550" s="50"/>
      <c r="S550" s="50"/>
      <c r="T550" s="50"/>
      <c r="U550" s="50"/>
      <c r="V550" s="50"/>
      <c r="W550" s="50"/>
      <c r="X550" s="51"/>
      <c r="Y550" s="50"/>
      <c r="Z550" s="30"/>
      <c r="AA550" s="104"/>
      <c r="AB550" s="10"/>
      <c r="AC550" s="60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8"/>
      <c r="BC550" s="147"/>
      <c r="BD550" s="54"/>
      <c r="BE550" s="32"/>
    </row>
    <row r="551" spans="1:57" x14ac:dyDescent="0.3">
      <c r="A551" s="241" t="str">
        <f t="shared" si="10"/>
        <v/>
      </c>
      <c r="B551" s="323"/>
      <c r="C551" s="324"/>
      <c r="D551" s="325"/>
      <c r="E551" s="349"/>
      <c r="F551" s="347"/>
      <c r="G551" s="30"/>
      <c r="H551" s="30"/>
      <c r="I551" s="30"/>
      <c r="J551" s="30"/>
      <c r="K551" s="30"/>
      <c r="L551" s="30"/>
      <c r="M551" s="30"/>
      <c r="N551" s="30"/>
      <c r="O551" s="154"/>
      <c r="P551" s="154"/>
      <c r="Q551" s="50"/>
      <c r="R551" s="50"/>
      <c r="S551" s="50"/>
      <c r="T551" s="50"/>
      <c r="U551" s="50"/>
      <c r="V551" s="50"/>
      <c r="W551" s="50"/>
      <c r="X551" s="51"/>
      <c r="Y551" s="50"/>
      <c r="Z551" s="30"/>
      <c r="AA551" s="104"/>
      <c r="AB551" s="10"/>
      <c r="AC551" s="60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8"/>
      <c r="BC551" s="147"/>
      <c r="BD551" s="54"/>
      <c r="BE551" s="32"/>
    </row>
    <row r="552" spans="1:57" x14ac:dyDescent="0.3">
      <c r="A552" s="241" t="str">
        <f t="shared" si="10"/>
        <v/>
      </c>
      <c r="B552" s="323"/>
      <c r="C552" s="324"/>
      <c r="D552" s="325"/>
      <c r="E552" s="349"/>
      <c r="F552" s="347"/>
      <c r="G552" s="30"/>
      <c r="H552" s="30"/>
      <c r="I552" s="30"/>
      <c r="J552" s="30"/>
      <c r="K552" s="30"/>
      <c r="L552" s="30"/>
      <c r="M552" s="30"/>
      <c r="N552" s="30"/>
      <c r="O552" s="154"/>
      <c r="P552" s="154"/>
      <c r="Q552" s="50"/>
      <c r="R552" s="50"/>
      <c r="S552" s="50"/>
      <c r="T552" s="50"/>
      <c r="U552" s="50"/>
      <c r="V552" s="50"/>
      <c r="W552" s="50"/>
      <c r="X552" s="51"/>
      <c r="Y552" s="50"/>
      <c r="Z552" s="30"/>
      <c r="AA552" s="104"/>
      <c r="AB552" s="10"/>
      <c r="AC552" s="60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8"/>
      <c r="BC552" s="147"/>
      <c r="BD552" s="54"/>
      <c r="BE552" s="32"/>
    </row>
    <row r="553" spans="1:57" x14ac:dyDescent="0.3">
      <c r="A553" s="241" t="str">
        <f t="shared" si="10"/>
        <v/>
      </c>
      <c r="B553" s="323"/>
      <c r="C553" s="324"/>
      <c r="D553" s="325"/>
      <c r="E553" s="349"/>
      <c r="F553" s="347"/>
      <c r="G553" s="30"/>
      <c r="H553" s="30"/>
      <c r="I553" s="30"/>
      <c r="J553" s="30"/>
      <c r="K553" s="30"/>
      <c r="L553" s="30"/>
      <c r="M553" s="30"/>
      <c r="N553" s="30"/>
      <c r="O553" s="154"/>
      <c r="P553" s="154"/>
      <c r="Q553" s="50"/>
      <c r="R553" s="50"/>
      <c r="S553" s="50"/>
      <c r="T553" s="50"/>
      <c r="U553" s="50"/>
      <c r="V553" s="50"/>
      <c r="W553" s="50"/>
      <c r="X553" s="51"/>
      <c r="Y553" s="50"/>
      <c r="Z553" s="30"/>
      <c r="AA553" s="104"/>
      <c r="AB553" s="10"/>
      <c r="AC553" s="60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8"/>
      <c r="BC553" s="147"/>
      <c r="BD553" s="54"/>
      <c r="BE553" s="32"/>
    </row>
    <row r="554" spans="1:57" x14ac:dyDescent="0.3">
      <c r="A554" s="241" t="str">
        <f t="shared" si="10"/>
        <v/>
      </c>
      <c r="B554" s="323"/>
      <c r="C554" s="324"/>
      <c r="D554" s="325"/>
      <c r="E554" s="349"/>
      <c r="F554" s="347"/>
      <c r="G554" s="30"/>
      <c r="H554" s="30"/>
      <c r="I554" s="30"/>
      <c r="J554" s="30"/>
      <c r="K554" s="30"/>
      <c r="L554" s="30"/>
      <c r="M554" s="30"/>
      <c r="N554" s="30"/>
      <c r="O554" s="154"/>
      <c r="P554" s="154"/>
      <c r="Q554" s="50"/>
      <c r="R554" s="50"/>
      <c r="S554" s="50"/>
      <c r="T554" s="50"/>
      <c r="U554" s="50"/>
      <c r="V554" s="50"/>
      <c r="W554" s="50"/>
      <c r="X554" s="51"/>
      <c r="Y554" s="50"/>
      <c r="Z554" s="30"/>
      <c r="AA554" s="104"/>
      <c r="AB554" s="10"/>
      <c r="AC554" s="60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8"/>
      <c r="BC554" s="147"/>
      <c r="BD554" s="54"/>
      <c r="BE554" s="32"/>
    </row>
    <row r="555" spans="1:57" x14ac:dyDescent="0.3">
      <c r="A555" s="241" t="str">
        <f t="shared" si="10"/>
        <v/>
      </c>
      <c r="B555" s="323"/>
      <c r="C555" s="324"/>
      <c r="D555" s="325"/>
      <c r="E555" s="349"/>
      <c r="F555" s="347"/>
      <c r="G555" s="30"/>
      <c r="H555" s="30"/>
      <c r="I555" s="30"/>
      <c r="J555" s="30"/>
      <c r="K555" s="30"/>
      <c r="L555" s="30"/>
      <c r="M555" s="30"/>
      <c r="N555" s="30"/>
      <c r="O555" s="154"/>
      <c r="P555" s="154"/>
      <c r="Q555" s="50"/>
      <c r="R555" s="50"/>
      <c r="S555" s="50"/>
      <c r="T555" s="50"/>
      <c r="U555" s="50"/>
      <c r="V555" s="50"/>
      <c r="W555" s="50"/>
      <c r="X555" s="51"/>
      <c r="Y555" s="50"/>
      <c r="Z555" s="30"/>
      <c r="AA555" s="104"/>
      <c r="AB555" s="10"/>
      <c r="AC555" s="60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8"/>
      <c r="BC555" s="147"/>
      <c r="BD555" s="54"/>
      <c r="BE555" s="32"/>
    </row>
    <row r="556" spans="1:57" x14ac:dyDescent="0.3">
      <c r="A556" s="241" t="str">
        <f t="shared" si="10"/>
        <v/>
      </c>
      <c r="B556" s="323"/>
      <c r="C556" s="324"/>
      <c r="D556" s="325"/>
      <c r="E556" s="349"/>
      <c r="F556" s="347"/>
      <c r="G556" s="30"/>
      <c r="H556" s="30"/>
      <c r="I556" s="30"/>
      <c r="J556" s="30"/>
      <c r="K556" s="30"/>
      <c r="L556" s="30"/>
      <c r="M556" s="30"/>
      <c r="N556" s="30"/>
      <c r="O556" s="154"/>
      <c r="P556" s="154"/>
      <c r="Q556" s="50"/>
      <c r="R556" s="50"/>
      <c r="S556" s="50"/>
      <c r="T556" s="50"/>
      <c r="U556" s="50"/>
      <c r="V556" s="50"/>
      <c r="W556" s="50"/>
      <c r="X556" s="51"/>
      <c r="Y556" s="50"/>
      <c r="Z556" s="30"/>
      <c r="AA556" s="104"/>
      <c r="AB556" s="10"/>
      <c r="AC556" s="60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8"/>
      <c r="BC556" s="147"/>
      <c r="BD556" s="54"/>
      <c r="BE556" s="32"/>
    </row>
    <row r="557" spans="1:57" x14ac:dyDescent="0.3">
      <c r="A557" s="241" t="str">
        <f t="shared" si="10"/>
        <v/>
      </c>
      <c r="B557" s="323"/>
      <c r="C557" s="324"/>
      <c r="D557" s="325"/>
      <c r="E557" s="349"/>
      <c r="F557" s="347"/>
      <c r="G557" s="30"/>
      <c r="H557" s="30"/>
      <c r="I557" s="30"/>
      <c r="J557" s="30"/>
      <c r="K557" s="30"/>
      <c r="L557" s="30"/>
      <c r="M557" s="30"/>
      <c r="N557" s="30"/>
      <c r="O557" s="154"/>
      <c r="P557" s="154"/>
      <c r="Q557" s="50"/>
      <c r="R557" s="50"/>
      <c r="S557" s="50"/>
      <c r="T557" s="50"/>
      <c r="U557" s="50"/>
      <c r="V557" s="50"/>
      <c r="W557" s="50"/>
      <c r="X557" s="51"/>
      <c r="Y557" s="50"/>
      <c r="Z557" s="30"/>
      <c r="AA557" s="104"/>
      <c r="AB557" s="10"/>
      <c r="AC557" s="60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8"/>
      <c r="BC557" s="147"/>
      <c r="BD557" s="54"/>
      <c r="BE557" s="32"/>
    </row>
    <row r="558" spans="1:57" x14ac:dyDescent="0.3">
      <c r="A558" s="241" t="str">
        <f t="shared" si="10"/>
        <v/>
      </c>
      <c r="B558" s="323"/>
      <c r="C558" s="324"/>
      <c r="D558" s="325"/>
      <c r="E558" s="349"/>
      <c r="F558" s="347"/>
      <c r="G558" s="30"/>
      <c r="H558" s="30"/>
      <c r="I558" s="30"/>
      <c r="J558" s="30"/>
      <c r="K558" s="30"/>
      <c r="L558" s="30"/>
      <c r="M558" s="30"/>
      <c r="N558" s="30"/>
      <c r="O558" s="154"/>
      <c r="P558" s="154"/>
      <c r="Q558" s="50"/>
      <c r="R558" s="50"/>
      <c r="S558" s="50"/>
      <c r="T558" s="50"/>
      <c r="U558" s="50"/>
      <c r="V558" s="50"/>
      <c r="W558" s="50"/>
      <c r="X558" s="51"/>
      <c r="Y558" s="50"/>
      <c r="Z558" s="30"/>
      <c r="AA558" s="104"/>
      <c r="AB558" s="10"/>
      <c r="AC558" s="60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8"/>
      <c r="BC558" s="147"/>
      <c r="BD558" s="54"/>
      <c r="BE558" s="32"/>
    </row>
    <row r="559" spans="1:57" x14ac:dyDescent="0.3">
      <c r="A559" s="241" t="str">
        <f t="shared" si="10"/>
        <v/>
      </c>
      <c r="B559" s="323"/>
      <c r="C559" s="324"/>
      <c r="D559" s="325"/>
      <c r="E559" s="349"/>
      <c r="F559" s="347"/>
      <c r="G559" s="30"/>
      <c r="H559" s="30"/>
      <c r="I559" s="30"/>
      <c r="J559" s="30"/>
      <c r="K559" s="30"/>
      <c r="L559" s="30"/>
      <c r="M559" s="30"/>
      <c r="N559" s="30"/>
      <c r="O559" s="154"/>
      <c r="P559" s="154"/>
      <c r="Q559" s="50"/>
      <c r="R559" s="50"/>
      <c r="S559" s="50"/>
      <c r="T559" s="50"/>
      <c r="U559" s="50"/>
      <c r="V559" s="50"/>
      <c r="W559" s="50"/>
      <c r="X559" s="51"/>
      <c r="Y559" s="50"/>
      <c r="Z559" s="30"/>
      <c r="AA559" s="104"/>
      <c r="AB559" s="10"/>
      <c r="AC559" s="60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8"/>
      <c r="BC559" s="147"/>
      <c r="BD559" s="54"/>
      <c r="BE559" s="32"/>
    </row>
    <row r="560" spans="1:57" x14ac:dyDescent="0.3">
      <c r="A560" s="241" t="str">
        <f t="shared" si="10"/>
        <v/>
      </c>
      <c r="B560" s="323"/>
      <c r="C560" s="324"/>
      <c r="D560" s="325"/>
      <c r="E560" s="349"/>
      <c r="F560" s="347"/>
      <c r="G560" s="30"/>
      <c r="H560" s="30"/>
      <c r="I560" s="30"/>
      <c r="J560" s="30"/>
      <c r="K560" s="30"/>
      <c r="L560" s="30"/>
      <c r="M560" s="30"/>
      <c r="N560" s="30"/>
      <c r="O560" s="154"/>
      <c r="P560" s="154"/>
      <c r="Q560" s="50"/>
      <c r="R560" s="50"/>
      <c r="S560" s="50"/>
      <c r="T560" s="50"/>
      <c r="U560" s="50"/>
      <c r="V560" s="50"/>
      <c r="W560" s="50"/>
      <c r="X560" s="51"/>
      <c r="Y560" s="50"/>
      <c r="Z560" s="30"/>
      <c r="AA560" s="104"/>
      <c r="AB560" s="10"/>
      <c r="AC560" s="60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8"/>
      <c r="BC560" s="147"/>
      <c r="BD560" s="54"/>
      <c r="BE560" s="32"/>
    </row>
    <row r="561" spans="1:57" x14ac:dyDescent="0.3">
      <c r="A561" s="241" t="str">
        <f t="shared" si="10"/>
        <v/>
      </c>
      <c r="B561" s="323"/>
      <c r="C561" s="324"/>
      <c r="D561" s="325"/>
      <c r="E561" s="349"/>
      <c r="F561" s="347"/>
      <c r="G561" s="30"/>
      <c r="H561" s="30"/>
      <c r="I561" s="30"/>
      <c r="J561" s="30"/>
      <c r="K561" s="30"/>
      <c r="L561" s="30"/>
      <c r="M561" s="30"/>
      <c r="N561" s="30"/>
      <c r="O561" s="154"/>
      <c r="P561" s="154"/>
      <c r="Q561" s="50"/>
      <c r="R561" s="50"/>
      <c r="S561" s="50"/>
      <c r="T561" s="50"/>
      <c r="U561" s="50"/>
      <c r="V561" s="50"/>
      <c r="W561" s="50"/>
      <c r="X561" s="51"/>
      <c r="Y561" s="50"/>
      <c r="Z561" s="30"/>
      <c r="AA561" s="104"/>
      <c r="AB561" s="10"/>
      <c r="AC561" s="60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8"/>
      <c r="BC561" s="147"/>
      <c r="BD561" s="54"/>
      <c r="BE561" s="32"/>
    </row>
    <row r="562" spans="1:57" x14ac:dyDescent="0.3">
      <c r="A562" s="241" t="str">
        <f t="shared" si="10"/>
        <v/>
      </c>
      <c r="B562" s="323"/>
      <c r="C562" s="324"/>
      <c r="D562" s="325"/>
      <c r="E562" s="349"/>
      <c r="F562" s="347"/>
      <c r="G562" s="30"/>
      <c r="H562" s="30"/>
      <c r="I562" s="30"/>
      <c r="J562" s="30"/>
      <c r="K562" s="30"/>
      <c r="L562" s="30"/>
      <c r="M562" s="30"/>
      <c r="N562" s="30"/>
      <c r="O562" s="154"/>
      <c r="P562" s="154"/>
      <c r="Q562" s="50"/>
      <c r="R562" s="50"/>
      <c r="S562" s="50"/>
      <c r="T562" s="50"/>
      <c r="U562" s="50"/>
      <c r="V562" s="50"/>
      <c r="W562" s="50"/>
      <c r="X562" s="51"/>
      <c r="Y562" s="50"/>
      <c r="Z562" s="30"/>
      <c r="AA562" s="104"/>
      <c r="AB562" s="10"/>
      <c r="AC562" s="60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8"/>
      <c r="BC562" s="147"/>
      <c r="BD562" s="54"/>
      <c r="BE562" s="32"/>
    </row>
    <row r="563" spans="1:57" x14ac:dyDescent="0.3">
      <c r="A563" s="241" t="str">
        <f t="shared" si="10"/>
        <v/>
      </c>
      <c r="B563" s="323"/>
      <c r="C563" s="324"/>
      <c r="D563" s="325"/>
      <c r="E563" s="349"/>
      <c r="F563" s="347"/>
      <c r="G563" s="30"/>
      <c r="H563" s="30"/>
      <c r="I563" s="30"/>
      <c r="J563" s="30"/>
      <c r="K563" s="30"/>
      <c r="L563" s="30"/>
      <c r="M563" s="30"/>
      <c r="N563" s="30"/>
      <c r="O563" s="154"/>
      <c r="P563" s="154"/>
      <c r="Q563" s="50"/>
      <c r="R563" s="50"/>
      <c r="S563" s="50"/>
      <c r="T563" s="50"/>
      <c r="U563" s="50"/>
      <c r="V563" s="50"/>
      <c r="W563" s="50"/>
      <c r="X563" s="51"/>
      <c r="Y563" s="50"/>
      <c r="Z563" s="30"/>
      <c r="AA563" s="104"/>
      <c r="AB563" s="10"/>
      <c r="AC563" s="60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8"/>
      <c r="BC563" s="147"/>
      <c r="BD563" s="54"/>
      <c r="BE563" s="32"/>
    </row>
    <row r="564" spans="1:57" x14ac:dyDescent="0.3">
      <c r="A564" s="241" t="str">
        <f t="shared" si="10"/>
        <v/>
      </c>
      <c r="B564" s="323"/>
      <c r="C564" s="324"/>
      <c r="D564" s="325"/>
      <c r="E564" s="349"/>
      <c r="F564" s="347"/>
      <c r="G564" s="30"/>
      <c r="H564" s="30"/>
      <c r="I564" s="30"/>
      <c r="J564" s="30"/>
      <c r="K564" s="30"/>
      <c r="L564" s="30"/>
      <c r="M564" s="30"/>
      <c r="N564" s="30"/>
      <c r="O564" s="154"/>
      <c r="P564" s="154"/>
      <c r="Q564" s="50"/>
      <c r="R564" s="50"/>
      <c r="S564" s="50"/>
      <c r="T564" s="50"/>
      <c r="U564" s="50"/>
      <c r="V564" s="50"/>
      <c r="W564" s="50"/>
      <c r="X564" s="51"/>
      <c r="Y564" s="50"/>
      <c r="Z564" s="30"/>
      <c r="AA564" s="104"/>
      <c r="AB564" s="10"/>
      <c r="AC564" s="60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8"/>
      <c r="BC564" s="147"/>
      <c r="BD564" s="54"/>
      <c r="BE564" s="32"/>
    </row>
    <row r="565" spans="1:57" x14ac:dyDescent="0.3">
      <c r="A565" s="241" t="str">
        <f t="shared" si="10"/>
        <v/>
      </c>
      <c r="B565" s="323"/>
      <c r="C565" s="324"/>
      <c r="D565" s="325"/>
      <c r="E565" s="349"/>
      <c r="F565" s="347"/>
      <c r="G565" s="30"/>
      <c r="H565" s="30"/>
      <c r="I565" s="30"/>
      <c r="J565" s="30"/>
      <c r="K565" s="30"/>
      <c r="L565" s="30"/>
      <c r="M565" s="30"/>
      <c r="N565" s="30"/>
      <c r="O565" s="154"/>
      <c r="P565" s="154"/>
      <c r="Q565" s="50"/>
      <c r="R565" s="50"/>
      <c r="S565" s="50"/>
      <c r="T565" s="50"/>
      <c r="U565" s="50"/>
      <c r="V565" s="50"/>
      <c r="W565" s="50"/>
      <c r="X565" s="51"/>
      <c r="Y565" s="50"/>
      <c r="Z565" s="30"/>
      <c r="AA565" s="104"/>
      <c r="AB565" s="10"/>
      <c r="AC565" s="60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8"/>
      <c r="BC565" s="147"/>
      <c r="BD565" s="54"/>
      <c r="BE565" s="32"/>
    </row>
    <row r="566" spans="1:57" x14ac:dyDescent="0.3">
      <c r="A566" s="241" t="str">
        <f t="shared" si="10"/>
        <v/>
      </c>
      <c r="B566" s="323"/>
      <c r="C566" s="324"/>
      <c r="D566" s="325"/>
      <c r="E566" s="349"/>
      <c r="F566" s="347"/>
      <c r="G566" s="30"/>
      <c r="H566" s="30"/>
      <c r="I566" s="30"/>
      <c r="J566" s="30"/>
      <c r="K566" s="30"/>
      <c r="L566" s="30"/>
      <c r="M566" s="30"/>
      <c r="N566" s="30"/>
      <c r="O566" s="154"/>
      <c r="P566" s="154"/>
      <c r="Q566" s="50"/>
      <c r="R566" s="50"/>
      <c r="S566" s="50"/>
      <c r="T566" s="50"/>
      <c r="U566" s="50"/>
      <c r="V566" s="50"/>
      <c r="W566" s="50"/>
      <c r="X566" s="51"/>
      <c r="Y566" s="50"/>
      <c r="Z566" s="30"/>
      <c r="AA566" s="104"/>
      <c r="AB566" s="10"/>
      <c r="AC566" s="60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8"/>
      <c r="BC566" s="147"/>
      <c r="BD566" s="54"/>
      <c r="BE566" s="32"/>
    </row>
    <row r="567" spans="1:57" x14ac:dyDescent="0.3">
      <c r="A567" s="241" t="str">
        <f t="shared" si="10"/>
        <v/>
      </c>
      <c r="B567" s="323"/>
      <c r="C567" s="324"/>
      <c r="D567" s="325"/>
      <c r="E567" s="349"/>
      <c r="F567" s="347"/>
      <c r="G567" s="30"/>
      <c r="H567" s="30"/>
      <c r="I567" s="30"/>
      <c r="J567" s="30"/>
      <c r="K567" s="30"/>
      <c r="L567" s="30"/>
      <c r="M567" s="30"/>
      <c r="N567" s="30"/>
      <c r="O567" s="154"/>
      <c r="P567" s="154"/>
      <c r="Q567" s="50"/>
      <c r="R567" s="50"/>
      <c r="S567" s="50"/>
      <c r="T567" s="50"/>
      <c r="U567" s="50"/>
      <c r="V567" s="50"/>
      <c r="W567" s="50"/>
      <c r="X567" s="51"/>
      <c r="Y567" s="50"/>
      <c r="Z567" s="30"/>
      <c r="AA567" s="104"/>
      <c r="AB567" s="10"/>
      <c r="AC567" s="60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8"/>
      <c r="BC567" s="147"/>
      <c r="BD567" s="54"/>
      <c r="BE567" s="32"/>
    </row>
    <row r="568" spans="1:57" x14ac:dyDescent="0.3">
      <c r="A568" s="241" t="str">
        <f t="shared" si="10"/>
        <v/>
      </c>
      <c r="B568" s="323"/>
      <c r="C568" s="324"/>
      <c r="D568" s="325"/>
      <c r="E568" s="349"/>
      <c r="F568" s="347"/>
      <c r="G568" s="30"/>
      <c r="H568" s="30"/>
      <c r="I568" s="30"/>
      <c r="J568" s="30"/>
      <c r="K568" s="30"/>
      <c r="L568" s="30"/>
      <c r="M568" s="30"/>
      <c r="N568" s="30"/>
      <c r="O568" s="154"/>
      <c r="P568" s="154"/>
      <c r="Q568" s="50"/>
      <c r="R568" s="50"/>
      <c r="S568" s="50"/>
      <c r="T568" s="50"/>
      <c r="U568" s="50"/>
      <c r="V568" s="50"/>
      <c r="W568" s="50"/>
      <c r="X568" s="51"/>
      <c r="Y568" s="50"/>
      <c r="Z568" s="30"/>
      <c r="AA568" s="104"/>
      <c r="AB568" s="10"/>
      <c r="AC568" s="60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8"/>
      <c r="BC568" s="147"/>
      <c r="BD568" s="54"/>
      <c r="BE568" s="32"/>
    </row>
    <row r="569" spans="1:57" x14ac:dyDescent="0.3">
      <c r="A569" s="241" t="str">
        <f t="shared" si="10"/>
        <v/>
      </c>
      <c r="B569" s="323"/>
      <c r="C569" s="324"/>
      <c r="D569" s="325"/>
      <c r="E569" s="349"/>
      <c r="F569" s="347"/>
      <c r="G569" s="30"/>
      <c r="H569" s="30"/>
      <c r="I569" s="30"/>
      <c r="J569" s="30"/>
      <c r="K569" s="30"/>
      <c r="L569" s="30"/>
      <c r="M569" s="30"/>
      <c r="N569" s="30"/>
      <c r="O569" s="154"/>
      <c r="P569" s="154"/>
      <c r="Q569" s="50"/>
      <c r="R569" s="50"/>
      <c r="S569" s="50"/>
      <c r="T569" s="50"/>
      <c r="U569" s="50"/>
      <c r="V569" s="50"/>
      <c r="W569" s="50"/>
      <c r="X569" s="51"/>
      <c r="Y569" s="50"/>
      <c r="Z569" s="30"/>
      <c r="AA569" s="104"/>
      <c r="AB569" s="10"/>
      <c r="AC569" s="60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8"/>
      <c r="BC569" s="147"/>
      <c r="BD569" s="54"/>
      <c r="BE569" s="32"/>
    </row>
    <row r="570" spans="1:57" x14ac:dyDescent="0.3">
      <c r="A570" s="241" t="str">
        <f t="shared" si="10"/>
        <v/>
      </c>
      <c r="B570" s="323"/>
      <c r="C570" s="324"/>
      <c r="D570" s="325"/>
      <c r="E570" s="349"/>
      <c r="F570" s="347"/>
      <c r="G570" s="30"/>
      <c r="H570" s="30"/>
      <c r="I570" s="30"/>
      <c r="J570" s="30"/>
      <c r="K570" s="30"/>
      <c r="L570" s="30"/>
      <c r="M570" s="30"/>
      <c r="N570" s="30"/>
      <c r="O570" s="154"/>
      <c r="P570" s="154"/>
      <c r="Q570" s="50"/>
      <c r="R570" s="50"/>
      <c r="S570" s="50"/>
      <c r="T570" s="50"/>
      <c r="U570" s="50"/>
      <c r="V570" s="50"/>
      <c r="W570" s="50"/>
      <c r="X570" s="51"/>
      <c r="Y570" s="50"/>
      <c r="Z570" s="30"/>
      <c r="AA570" s="104"/>
      <c r="AB570" s="10"/>
      <c r="AC570" s="60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8"/>
      <c r="BC570" s="147"/>
      <c r="BD570" s="54"/>
      <c r="BE570" s="32"/>
    </row>
    <row r="571" spans="1:57" x14ac:dyDescent="0.3">
      <c r="A571" s="241" t="str">
        <f t="shared" si="10"/>
        <v/>
      </c>
      <c r="B571" s="323"/>
      <c r="C571" s="324"/>
      <c r="D571" s="325"/>
      <c r="E571" s="349"/>
      <c r="F571" s="347"/>
      <c r="G571" s="30"/>
      <c r="H571" s="30"/>
      <c r="I571" s="30"/>
      <c r="J571" s="30"/>
      <c r="K571" s="30"/>
      <c r="L571" s="30"/>
      <c r="M571" s="30"/>
      <c r="N571" s="30"/>
      <c r="O571" s="154"/>
      <c r="P571" s="154"/>
      <c r="Q571" s="50"/>
      <c r="R571" s="50"/>
      <c r="S571" s="50"/>
      <c r="T571" s="50"/>
      <c r="U571" s="50"/>
      <c r="V571" s="50"/>
      <c r="W571" s="50"/>
      <c r="X571" s="51"/>
      <c r="Y571" s="50"/>
      <c r="Z571" s="30"/>
      <c r="AA571" s="104"/>
      <c r="AB571" s="10"/>
      <c r="AC571" s="60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8"/>
      <c r="BC571" s="147"/>
      <c r="BD571" s="54"/>
      <c r="BE571" s="32"/>
    </row>
    <row r="572" spans="1:57" x14ac:dyDescent="0.3">
      <c r="A572" s="241" t="str">
        <f t="shared" si="10"/>
        <v/>
      </c>
      <c r="B572" s="323"/>
      <c r="C572" s="324"/>
      <c r="D572" s="325"/>
      <c r="E572" s="349"/>
      <c r="F572" s="347"/>
      <c r="G572" s="30"/>
      <c r="H572" s="30"/>
      <c r="I572" s="30"/>
      <c r="J572" s="30"/>
      <c r="K572" s="30"/>
      <c r="L572" s="30"/>
      <c r="M572" s="30"/>
      <c r="N572" s="30"/>
      <c r="O572" s="154"/>
      <c r="P572" s="154"/>
      <c r="Q572" s="50"/>
      <c r="R572" s="50"/>
      <c r="S572" s="50"/>
      <c r="T572" s="50"/>
      <c r="U572" s="50"/>
      <c r="V572" s="50"/>
      <c r="W572" s="50"/>
      <c r="X572" s="51"/>
      <c r="Y572" s="50"/>
      <c r="Z572" s="30"/>
      <c r="AA572" s="104"/>
      <c r="AB572" s="10"/>
      <c r="AC572" s="60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8"/>
      <c r="BC572" s="147"/>
      <c r="BD572" s="54"/>
      <c r="BE572" s="32"/>
    </row>
    <row r="573" spans="1:57" x14ac:dyDescent="0.3">
      <c r="A573" s="241" t="str">
        <f t="shared" si="10"/>
        <v/>
      </c>
      <c r="B573" s="323"/>
      <c r="C573" s="324"/>
      <c r="D573" s="325"/>
      <c r="E573" s="349"/>
      <c r="F573" s="347"/>
      <c r="G573" s="30"/>
      <c r="H573" s="30"/>
      <c r="I573" s="30"/>
      <c r="J573" s="30"/>
      <c r="K573" s="30"/>
      <c r="L573" s="30"/>
      <c r="M573" s="30"/>
      <c r="N573" s="30"/>
      <c r="O573" s="154"/>
      <c r="P573" s="154"/>
      <c r="Q573" s="50"/>
      <c r="R573" s="50"/>
      <c r="S573" s="50"/>
      <c r="T573" s="50"/>
      <c r="U573" s="50"/>
      <c r="V573" s="50"/>
      <c r="W573" s="50"/>
      <c r="X573" s="51"/>
      <c r="Y573" s="50"/>
      <c r="Z573" s="30"/>
      <c r="AA573" s="104"/>
      <c r="AB573" s="10"/>
      <c r="AC573" s="60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8"/>
      <c r="BC573" s="147"/>
      <c r="BD573" s="54"/>
      <c r="BE573" s="32"/>
    </row>
    <row r="574" spans="1:57" x14ac:dyDescent="0.3">
      <c r="A574" s="241" t="str">
        <f t="shared" si="10"/>
        <v/>
      </c>
      <c r="B574" s="323"/>
      <c r="C574" s="324"/>
      <c r="D574" s="325"/>
      <c r="E574" s="349"/>
      <c r="F574" s="347"/>
      <c r="G574" s="30"/>
      <c r="H574" s="30"/>
      <c r="I574" s="30"/>
      <c r="J574" s="30"/>
      <c r="K574" s="30"/>
      <c r="L574" s="30"/>
      <c r="M574" s="30"/>
      <c r="N574" s="30"/>
      <c r="O574" s="154"/>
      <c r="P574" s="154"/>
      <c r="Q574" s="50"/>
      <c r="R574" s="50"/>
      <c r="S574" s="50"/>
      <c r="T574" s="50"/>
      <c r="U574" s="50"/>
      <c r="V574" s="50"/>
      <c r="W574" s="50"/>
      <c r="X574" s="51"/>
      <c r="Y574" s="50"/>
      <c r="Z574" s="30"/>
      <c r="AA574" s="104"/>
      <c r="AB574" s="10"/>
      <c r="AC574" s="60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8"/>
      <c r="BC574" s="147"/>
      <c r="BD574" s="54"/>
      <c r="BE574" s="32"/>
    </row>
    <row r="575" spans="1:57" x14ac:dyDescent="0.3">
      <c r="A575" s="241" t="str">
        <f t="shared" si="10"/>
        <v/>
      </c>
      <c r="B575" s="323"/>
      <c r="C575" s="324"/>
      <c r="D575" s="325"/>
      <c r="E575" s="349"/>
      <c r="F575" s="347"/>
      <c r="G575" s="30"/>
      <c r="H575" s="30"/>
      <c r="I575" s="30"/>
      <c r="J575" s="30"/>
      <c r="K575" s="30"/>
      <c r="L575" s="30"/>
      <c r="M575" s="30"/>
      <c r="N575" s="30"/>
      <c r="O575" s="154"/>
      <c r="P575" s="154"/>
      <c r="Q575" s="50"/>
      <c r="R575" s="50"/>
      <c r="S575" s="50"/>
      <c r="T575" s="50"/>
      <c r="U575" s="50"/>
      <c r="V575" s="50"/>
      <c r="W575" s="50"/>
      <c r="X575" s="51"/>
      <c r="Y575" s="50"/>
      <c r="Z575" s="30"/>
      <c r="AA575" s="104"/>
      <c r="AB575" s="10"/>
      <c r="AC575" s="60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8"/>
      <c r="BC575" s="147"/>
      <c r="BD575" s="54"/>
      <c r="BE575" s="32"/>
    </row>
    <row r="576" spans="1:57" x14ac:dyDescent="0.3">
      <c r="A576" s="241" t="str">
        <f t="shared" si="10"/>
        <v/>
      </c>
      <c r="B576" s="323"/>
      <c r="C576" s="324"/>
      <c r="D576" s="325"/>
      <c r="E576" s="349"/>
      <c r="F576" s="347"/>
      <c r="G576" s="30"/>
      <c r="H576" s="30"/>
      <c r="I576" s="30"/>
      <c r="J576" s="30"/>
      <c r="K576" s="30"/>
      <c r="L576" s="30"/>
      <c r="M576" s="30"/>
      <c r="N576" s="30"/>
      <c r="O576" s="154"/>
      <c r="P576" s="154"/>
      <c r="Q576" s="50"/>
      <c r="R576" s="50"/>
      <c r="S576" s="50"/>
      <c r="T576" s="50"/>
      <c r="U576" s="50"/>
      <c r="V576" s="50"/>
      <c r="W576" s="50"/>
      <c r="X576" s="51"/>
      <c r="Y576" s="50"/>
      <c r="Z576" s="30"/>
      <c r="AA576" s="104"/>
      <c r="AB576" s="10"/>
      <c r="AC576" s="60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8"/>
      <c r="BC576" s="147"/>
      <c r="BD576" s="54"/>
      <c r="BE576" s="32"/>
    </row>
    <row r="577" spans="1:57" x14ac:dyDescent="0.3">
      <c r="A577" s="241" t="str">
        <f t="shared" si="10"/>
        <v/>
      </c>
      <c r="B577" s="323"/>
      <c r="C577" s="324"/>
      <c r="D577" s="325"/>
      <c r="E577" s="349"/>
      <c r="F577" s="347"/>
      <c r="G577" s="30"/>
      <c r="H577" s="30"/>
      <c r="I577" s="30"/>
      <c r="J577" s="30"/>
      <c r="K577" s="30"/>
      <c r="L577" s="30"/>
      <c r="M577" s="30"/>
      <c r="N577" s="30"/>
      <c r="O577" s="154"/>
      <c r="P577" s="154"/>
      <c r="Q577" s="50"/>
      <c r="R577" s="50"/>
      <c r="S577" s="50"/>
      <c r="T577" s="50"/>
      <c r="U577" s="50"/>
      <c r="V577" s="50"/>
      <c r="W577" s="50"/>
      <c r="X577" s="51"/>
      <c r="Y577" s="50"/>
      <c r="Z577" s="30"/>
      <c r="AA577" s="104"/>
      <c r="AB577" s="10"/>
      <c r="AC577" s="60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8"/>
      <c r="BC577" s="147"/>
      <c r="BD577" s="54"/>
      <c r="BE577" s="32"/>
    </row>
    <row r="578" spans="1:57" x14ac:dyDescent="0.3">
      <c r="A578" s="241" t="str">
        <f t="shared" si="10"/>
        <v/>
      </c>
      <c r="B578" s="323"/>
      <c r="C578" s="324"/>
      <c r="D578" s="325"/>
      <c r="E578" s="349"/>
      <c r="F578" s="347"/>
      <c r="G578" s="30"/>
      <c r="H578" s="30"/>
      <c r="I578" s="30"/>
      <c r="J578" s="30"/>
      <c r="K578" s="30"/>
      <c r="L578" s="30"/>
      <c r="M578" s="30"/>
      <c r="N578" s="30"/>
      <c r="O578" s="154"/>
      <c r="P578" s="154"/>
      <c r="Q578" s="50"/>
      <c r="R578" s="50"/>
      <c r="S578" s="50"/>
      <c r="T578" s="50"/>
      <c r="U578" s="50"/>
      <c r="V578" s="50"/>
      <c r="W578" s="50"/>
      <c r="X578" s="51"/>
      <c r="Y578" s="50"/>
      <c r="Z578" s="30"/>
      <c r="AA578" s="104"/>
      <c r="AB578" s="10"/>
      <c r="AC578" s="60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8"/>
      <c r="BC578" s="147"/>
      <c r="BD578" s="54"/>
      <c r="BE578" s="32"/>
    </row>
    <row r="579" spans="1:57" x14ac:dyDescent="0.3">
      <c r="A579" s="241" t="str">
        <f t="shared" si="10"/>
        <v/>
      </c>
      <c r="B579" s="323"/>
      <c r="C579" s="324"/>
      <c r="D579" s="325"/>
      <c r="E579" s="349"/>
      <c r="F579" s="347"/>
      <c r="G579" s="30"/>
      <c r="H579" s="30"/>
      <c r="I579" s="30"/>
      <c r="J579" s="30"/>
      <c r="K579" s="30"/>
      <c r="L579" s="30"/>
      <c r="M579" s="30"/>
      <c r="N579" s="30"/>
      <c r="O579" s="154"/>
      <c r="P579" s="154"/>
      <c r="Q579" s="50"/>
      <c r="R579" s="50"/>
      <c r="S579" s="50"/>
      <c r="T579" s="50"/>
      <c r="U579" s="50"/>
      <c r="V579" s="50"/>
      <c r="W579" s="50"/>
      <c r="X579" s="51"/>
      <c r="Y579" s="50"/>
      <c r="Z579" s="30"/>
      <c r="AA579" s="104"/>
      <c r="AB579" s="10"/>
      <c r="AC579" s="60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8"/>
      <c r="BC579" s="147"/>
      <c r="BD579" s="54"/>
      <c r="BE579" s="32"/>
    </row>
    <row r="580" spans="1:57" x14ac:dyDescent="0.3">
      <c r="A580" s="241" t="str">
        <f t="shared" si="10"/>
        <v/>
      </c>
      <c r="B580" s="323"/>
      <c r="C580" s="324"/>
      <c r="D580" s="325"/>
      <c r="E580" s="349"/>
      <c r="F580" s="347"/>
      <c r="G580" s="30"/>
      <c r="H580" s="30"/>
      <c r="I580" s="30"/>
      <c r="J580" s="30"/>
      <c r="K580" s="30"/>
      <c r="L580" s="30"/>
      <c r="M580" s="30"/>
      <c r="N580" s="30"/>
      <c r="O580" s="154"/>
      <c r="P580" s="154"/>
      <c r="Q580" s="50"/>
      <c r="R580" s="50"/>
      <c r="S580" s="50"/>
      <c r="T580" s="50"/>
      <c r="U580" s="50"/>
      <c r="V580" s="50"/>
      <c r="W580" s="50"/>
      <c r="X580" s="51"/>
      <c r="Y580" s="50"/>
      <c r="Z580" s="30"/>
      <c r="AA580" s="104"/>
      <c r="AB580" s="10"/>
      <c r="AC580" s="60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8"/>
      <c r="BC580" s="147"/>
      <c r="BD580" s="54"/>
      <c r="BE580" s="32"/>
    </row>
    <row r="581" spans="1:57" x14ac:dyDescent="0.3">
      <c r="A581" s="241" t="str">
        <f t="shared" si="10"/>
        <v/>
      </c>
      <c r="B581" s="323"/>
      <c r="C581" s="324"/>
      <c r="D581" s="325"/>
      <c r="E581" s="349"/>
      <c r="F581" s="347"/>
      <c r="G581" s="30"/>
      <c r="H581" s="30"/>
      <c r="I581" s="30"/>
      <c r="J581" s="30"/>
      <c r="K581" s="30"/>
      <c r="L581" s="30"/>
      <c r="M581" s="30"/>
      <c r="N581" s="30"/>
      <c r="O581" s="154"/>
      <c r="P581" s="154"/>
      <c r="Q581" s="50"/>
      <c r="R581" s="50"/>
      <c r="S581" s="50"/>
      <c r="T581" s="50"/>
      <c r="U581" s="50"/>
      <c r="V581" s="50"/>
      <c r="W581" s="50"/>
      <c r="X581" s="51"/>
      <c r="Y581" s="50"/>
      <c r="Z581" s="30"/>
      <c r="AA581" s="104"/>
      <c r="AB581" s="10"/>
      <c r="AC581" s="60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8"/>
      <c r="BC581" s="147"/>
      <c r="BD581" s="54"/>
      <c r="BE581" s="32"/>
    </row>
    <row r="582" spans="1:57" x14ac:dyDescent="0.3">
      <c r="A582" s="241" t="str">
        <f t="shared" si="10"/>
        <v/>
      </c>
      <c r="B582" s="323"/>
      <c r="C582" s="324"/>
      <c r="D582" s="325"/>
      <c r="E582" s="349"/>
      <c r="F582" s="347"/>
      <c r="G582" s="30"/>
      <c r="H582" s="30"/>
      <c r="I582" s="30"/>
      <c r="J582" s="30"/>
      <c r="K582" s="30"/>
      <c r="L582" s="30"/>
      <c r="M582" s="30"/>
      <c r="N582" s="30"/>
      <c r="O582" s="154"/>
      <c r="P582" s="154"/>
      <c r="Q582" s="50"/>
      <c r="R582" s="50"/>
      <c r="S582" s="50"/>
      <c r="T582" s="50"/>
      <c r="U582" s="50"/>
      <c r="V582" s="50"/>
      <c r="W582" s="50"/>
      <c r="X582" s="51"/>
      <c r="Y582" s="50"/>
      <c r="Z582" s="30"/>
      <c r="AA582" s="104"/>
      <c r="AB582" s="10"/>
      <c r="AC582" s="60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8"/>
      <c r="BC582" s="147"/>
      <c r="BD582" s="54"/>
      <c r="BE582" s="32"/>
    </row>
    <row r="583" spans="1:57" x14ac:dyDescent="0.3">
      <c r="A583" s="241" t="str">
        <f t="shared" si="10"/>
        <v/>
      </c>
      <c r="B583" s="323"/>
      <c r="C583" s="324"/>
      <c r="D583" s="325"/>
      <c r="E583" s="349"/>
      <c r="F583" s="347"/>
      <c r="G583" s="30"/>
      <c r="H583" s="30"/>
      <c r="I583" s="30"/>
      <c r="J583" s="30"/>
      <c r="K583" s="30"/>
      <c r="L583" s="30"/>
      <c r="M583" s="30"/>
      <c r="N583" s="30"/>
      <c r="O583" s="154"/>
      <c r="P583" s="154"/>
      <c r="Q583" s="50"/>
      <c r="R583" s="50"/>
      <c r="S583" s="50"/>
      <c r="T583" s="50"/>
      <c r="U583" s="50"/>
      <c r="V583" s="50"/>
      <c r="W583" s="50"/>
      <c r="X583" s="51"/>
      <c r="Y583" s="50"/>
      <c r="Z583" s="30"/>
      <c r="AA583" s="104"/>
      <c r="AB583" s="10"/>
      <c r="AC583" s="60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8"/>
      <c r="BC583" s="147"/>
      <c r="BD583" s="54"/>
      <c r="BE583" s="32"/>
    </row>
    <row r="584" spans="1:57" x14ac:dyDescent="0.3">
      <c r="A584" s="241" t="str">
        <f t="shared" si="10"/>
        <v/>
      </c>
      <c r="B584" s="323"/>
      <c r="C584" s="324"/>
      <c r="D584" s="325"/>
      <c r="E584" s="349"/>
      <c r="F584" s="347"/>
      <c r="G584" s="30"/>
      <c r="H584" s="30"/>
      <c r="I584" s="30"/>
      <c r="J584" s="30"/>
      <c r="K584" s="30"/>
      <c r="L584" s="30"/>
      <c r="M584" s="30"/>
      <c r="N584" s="30"/>
      <c r="O584" s="154"/>
      <c r="P584" s="154"/>
      <c r="Q584" s="50"/>
      <c r="R584" s="50"/>
      <c r="S584" s="50"/>
      <c r="T584" s="50"/>
      <c r="U584" s="50"/>
      <c r="V584" s="50"/>
      <c r="W584" s="50"/>
      <c r="X584" s="51"/>
      <c r="Y584" s="50"/>
      <c r="Z584" s="30"/>
      <c r="AA584" s="104"/>
      <c r="AB584" s="10"/>
      <c r="AC584" s="60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8"/>
      <c r="BC584" s="147"/>
      <c r="BD584" s="54"/>
      <c r="BE584" s="32"/>
    </row>
    <row r="585" spans="1:57" x14ac:dyDescent="0.3">
      <c r="A585" s="241" t="str">
        <f t="shared" si="10"/>
        <v/>
      </c>
      <c r="B585" s="323"/>
      <c r="C585" s="324"/>
      <c r="D585" s="325"/>
      <c r="E585" s="349"/>
      <c r="F585" s="347"/>
      <c r="G585" s="30"/>
      <c r="H585" s="30"/>
      <c r="I585" s="30"/>
      <c r="J585" s="30"/>
      <c r="K585" s="30"/>
      <c r="L585" s="30"/>
      <c r="M585" s="30"/>
      <c r="N585" s="30"/>
      <c r="O585" s="154"/>
      <c r="P585" s="154"/>
      <c r="Q585" s="50"/>
      <c r="R585" s="50"/>
      <c r="S585" s="50"/>
      <c r="T585" s="50"/>
      <c r="U585" s="50"/>
      <c r="V585" s="50"/>
      <c r="W585" s="50"/>
      <c r="X585" s="51"/>
      <c r="Y585" s="50"/>
      <c r="Z585" s="30"/>
      <c r="AA585" s="104"/>
      <c r="AB585" s="10"/>
      <c r="AC585" s="60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8"/>
      <c r="BC585" s="147"/>
      <c r="BD585" s="54"/>
      <c r="BE585" s="32"/>
    </row>
    <row r="586" spans="1:57" x14ac:dyDescent="0.3">
      <c r="A586" s="241" t="str">
        <f t="shared" si="10"/>
        <v/>
      </c>
      <c r="B586" s="323"/>
      <c r="C586" s="324"/>
      <c r="D586" s="325"/>
      <c r="E586" s="349"/>
      <c r="F586" s="347"/>
      <c r="G586" s="30"/>
      <c r="H586" s="30"/>
      <c r="I586" s="30"/>
      <c r="J586" s="30"/>
      <c r="K586" s="30"/>
      <c r="L586" s="30"/>
      <c r="M586" s="30"/>
      <c r="N586" s="30"/>
      <c r="O586" s="154"/>
      <c r="P586" s="154"/>
      <c r="Q586" s="50"/>
      <c r="R586" s="50"/>
      <c r="S586" s="50"/>
      <c r="T586" s="50"/>
      <c r="U586" s="50"/>
      <c r="V586" s="50"/>
      <c r="W586" s="50"/>
      <c r="X586" s="51"/>
      <c r="Y586" s="50"/>
      <c r="Z586" s="30"/>
      <c r="AA586" s="104"/>
      <c r="AB586" s="10"/>
      <c r="AC586" s="60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8"/>
      <c r="BC586" s="147"/>
      <c r="BD586" s="54"/>
      <c r="BE586" s="32"/>
    </row>
    <row r="587" spans="1:57" x14ac:dyDescent="0.3">
      <c r="A587" s="241" t="str">
        <f t="shared" si="10"/>
        <v/>
      </c>
      <c r="B587" s="323"/>
      <c r="C587" s="324"/>
      <c r="D587" s="325"/>
      <c r="E587" s="349"/>
      <c r="F587" s="347"/>
      <c r="G587" s="30"/>
      <c r="H587" s="30"/>
      <c r="I587" s="30"/>
      <c r="J587" s="30"/>
      <c r="K587" s="30"/>
      <c r="L587" s="30"/>
      <c r="M587" s="30"/>
      <c r="N587" s="30"/>
      <c r="O587" s="154"/>
      <c r="P587" s="154"/>
      <c r="Q587" s="50"/>
      <c r="R587" s="50"/>
      <c r="S587" s="50"/>
      <c r="T587" s="50"/>
      <c r="U587" s="50"/>
      <c r="V587" s="50"/>
      <c r="W587" s="50"/>
      <c r="X587" s="51"/>
      <c r="Y587" s="50"/>
      <c r="Z587" s="30"/>
      <c r="AA587" s="104"/>
      <c r="AB587" s="10"/>
      <c r="AC587" s="60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8"/>
      <c r="BC587" s="147"/>
      <c r="BD587" s="54"/>
      <c r="BE587" s="32"/>
    </row>
    <row r="588" spans="1:57" x14ac:dyDescent="0.3">
      <c r="A588" s="241" t="str">
        <f t="shared" si="10"/>
        <v/>
      </c>
      <c r="B588" s="323"/>
      <c r="C588" s="324"/>
      <c r="D588" s="325"/>
      <c r="E588" s="349"/>
      <c r="F588" s="347"/>
      <c r="G588" s="30"/>
      <c r="H588" s="30"/>
      <c r="I588" s="30"/>
      <c r="J588" s="30"/>
      <c r="K588" s="30"/>
      <c r="L588" s="30"/>
      <c r="M588" s="30"/>
      <c r="N588" s="30"/>
      <c r="O588" s="154"/>
      <c r="P588" s="154"/>
      <c r="Q588" s="50"/>
      <c r="R588" s="50"/>
      <c r="S588" s="50"/>
      <c r="T588" s="50"/>
      <c r="U588" s="50"/>
      <c r="V588" s="50"/>
      <c r="W588" s="50"/>
      <c r="X588" s="51"/>
      <c r="Y588" s="50"/>
      <c r="Z588" s="30"/>
      <c r="AA588" s="104"/>
      <c r="AB588" s="10"/>
      <c r="AC588" s="60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8"/>
      <c r="BC588" s="147"/>
      <c r="BD588" s="54"/>
      <c r="BE588" s="32"/>
    </row>
    <row r="589" spans="1:57" x14ac:dyDescent="0.3">
      <c r="A589" s="241" t="str">
        <f t="shared" si="10"/>
        <v/>
      </c>
      <c r="B589" s="323"/>
      <c r="C589" s="324"/>
      <c r="D589" s="325"/>
      <c r="E589" s="349"/>
      <c r="F589" s="347"/>
      <c r="G589" s="30"/>
      <c r="H589" s="30"/>
      <c r="I589" s="30"/>
      <c r="J589" s="30"/>
      <c r="K589" s="30"/>
      <c r="L589" s="30"/>
      <c r="M589" s="30"/>
      <c r="N589" s="30"/>
      <c r="O589" s="154"/>
      <c r="P589" s="154"/>
      <c r="Q589" s="50"/>
      <c r="R589" s="50"/>
      <c r="S589" s="50"/>
      <c r="T589" s="50"/>
      <c r="U589" s="50"/>
      <c r="V589" s="50"/>
      <c r="W589" s="50"/>
      <c r="X589" s="51"/>
      <c r="Y589" s="50"/>
      <c r="Z589" s="30"/>
      <c r="AA589" s="104"/>
      <c r="AB589" s="10"/>
      <c r="AC589" s="60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8"/>
      <c r="BC589" s="147"/>
      <c r="BD589" s="54"/>
      <c r="BE589" s="32"/>
    </row>
    <row r="590" spans="1:57" x14ac:dyDescent="0.3">
      <c r="A590" s="241" t="str">
        <f t="shared" si="10"/>
        <v/>
      </c>
      <c r="B590" s="323"/>
      <c r="C590" s="324"/>
      <c r="D590" s="325"/>
      <c r="E590" s="349"/>
      <c r="F590" s="347"/>
      <c r="G590" s="30"/>
      <c r="H590" s="30"/>
      <c r="I590" s="30"/>
      <c r="J590" s="30"/>
      <c r="K590" s="30"/>
      <c r="L590" s="30"/>
      <c r="M590" s="30"/>
      <c r="N590" s="30"/>
      <c r="O590" s="154"/>
      <c r="P590" s="154"/>
      <c r="Q590" s="50"/>
      <c r="R590" s="50"/>
      <c r="S590" s="50"/>
      <c r="T590" s="50"/>
      <c r="U590" s="50"/>
      <c r="V590" s="50"/>
      <c r="W590" s="50"/>
      <c r="X590" s="51"/>
      <c r="Y590" s="50"/>
      <c r="Z590" s="30"/>
      <c r="AA590" s="104"/>
      <c r="AB590" s="10"/>
      <c r="AC590" s="60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8"/>
      <c r="BC590" s="147"/>
      <c r="BD590" s="54"/>
      <c r="BE590" s="32"/>
    </row>
    <row r="591" spans="1:57" x14ac:dyDescent="0.3">
      <c r="A591" s="241" t="str">
        <f t="shared" si="10"/>
        <v/>
      </c>
      <c r="B591" s="323"/>
      <c r="C591" s="324"/>
      <c r="D591" s="325"/>
      <c r="E591" s="349"/>
      <c r="F591" s="347"/>
      <c r="G591" s="30"/>
      <c r="H591" s="30"/>
      <c r="I591" s="30"/>
      <c r="J591" s="30"/>
      <c r="K591" s="30"/>
      <c r="L591" s="30"/>
      <c r="M591" s="30"/>
      <c r="N591" s="30"/>
      <c r="O591" s="154"/>
      <c r="P591" s="154"/>
      <c r="Q591" s="50"/>
      <c r="R591" s="50"/>
      <c r="S591" s="50"/>
      <c r="T591" s="50"/>
      <c r="U591" s="50"/>
      <c r="V591" s="50"/>
      <c r="W591" s="50"/>
      <c r="X591" s="51"/>
      <c r="Y591" s="50"/>
      <c r="Z591" s="30"/>
      <c r="AA591" s="104"/>
      <c r="AB591" s="10"/>
      <c r="AC591" s="60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8"/>
      <c r="BC591" s="147"/>
      <c r="BD591" s="54"/>
      <c r="BE591" s="32"/>
    </row>
    <row r="592" spans="1:57" x14ac:dyDescent="0.3">
      <c r="A592" s="241" t="str">
        <f t="shared" si="10"/>
        <v/>
      </c>
      <c r="B592" s="323"/>
      <c r="C592" s="324"/>
      <c r="D592" s="325"/>
      <c r="E592" s="349"/>
      <c r="F592" s="347"/>
      <c r="G592" s="30"/>
      <c r="H592" s="30"/>
      <c r="I592" s="30"/>
      <c r="J592" s="30"/>
      <c r="K592" s="30"/>
      <c r="L592" s="30"/>
      <c r="M592" s="30"/>
      <c r="N592" s="30"/>
      <c r="O592" s="154"/>
      <c r="P592" s="154"/>
      <c r="Q592" s="50"/>
      <c r="R592" s="50"/>
      <c r="S592" s="50"/>
      <c r="T592" s="50"/>
      <c r="U592" s="50"/>
      <c r="V592" s="50"/>
      <c r="W592" s="50"/>
      <c r="X592" s="51"/>
      <c r="Y592" s="50"/>
      <c r="Z592" s="30"/>
      <c r="AA592" s="104"/>
      <c r="AB592" s="10"/>
      <c r="AC592" s="60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8"/>
      <c r="BC592" s="147"/>
      <c r="BD592" s="54"/>
      <c r="BE592" s="32"/>
    </row>
    <row r="593" spans="1:57" x14ac:dyDescent="0.3">
      <c r="A593" s="241" t="str">
        <f t="shared" si="10"/>
        <v/>
      </c>
      <c r="B593" s="323"/>
      <c r="C593" s="324"/>
      <c r="D593" s="325"/>
      <c r="E593" s="349"/>
      <c r="F593" s="347"/>
      <c r="G593" s="30"/>
      <c r="H593" s="30"/>
      <c r="I593" s="30"/>
      <c r="J593" s="30"/>
      <c r="K593" s="30"/>
      <c r="L593" s="30"/>
      <c r="M593" s="30"/>
      <c r="N593" s="30"/>
      <c r="O593" s="154"/>
      <c r="P593" s="154"/>
      <c r="Q593" s="50"/>
      <c r="R593" s="50"/>
      <c r="S593" s="50"/>
      <c r="T593" s="50"/>
      <c r="U593" s="50"/>
      <c r="V593" s="50"/>
      <c r="W593" s="50"/>
      <c r="X593" s="51"/>
      <c r="Y593" s="50"/>
      <c r="Z593" s="30"/>
      <c r="AA593" s="104"/>
      <c r="AB593" s="10"/>
      <c r="AC593" s="60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8"/>
      <c r="BC593" s="147"/>
      <c r="BD593" s="54"/>
      <c r="BE593" s="32"/>
    </row>
    <row r="594" spans="1:57" x14ac:dyDescent="0.3">
      <c r="A594" s="241" t="str">
        <f t="shared" si="10"/>
        <v/>
      </c>
      <c r="B594" s="323"/>
      <c r="C594" s="324"/>
      <c r="D594" s="325"/>
      <c r="E594" s="349"/>
      <c r="F594" s="347"/>
      <c r="G594" s="30"/>
      <c r="H594" s="30"/>
      <c r="I594" s="30"/>
      <c r="J594" s="30"/>
      <c r="K594" s="30"/>
      <c r="L594" s="30"/>
      <c r="M594" s="30"/>
      <c r="N594" s="30"/>
      <c r="O594" s="154"/>
      <c r="P594" s="154"/>
      <c r="Q594" s="50"/>
      <c r="R594" s="50"/>
      <c r="S594" s="50"/>
      <c r="T594" s="50"/>
      <c r="U594" s="50"/>
      <c r="V594" s="50"/>
      <c r="W594" s="50"/>
      <c r="X594" s="51"/>
      <c r="Y594" s="50"/>
      <c r="Z594" s="30"/>
      <c r="AA594" s="104"/>
      <c r="AB594" s="10"/>
      <c r="AC594" s="60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8"/>
      <c r="BC594" s="147"/>
      <c r="BD594" s="54"/>
      <c r="BE594" s="32"/>
    </row>
    <row r="595" spans="1:57" x14ac:dyDescent="0.3">
      <c r="A595" s="241" t="str">
        <f t="shared" si="10"/>
        <v/>
      </c>
      <c r="B595" s="323"/>
      <c r="C595" s="324"/>
      <c r="D595" s="325"/>
      <c r="E595" s="349"/>
      <c r="F595" s="347"/>
      <c r="G595" s="30"/>
      <c r="H595" s="30"/>
      <c r="I595" s="30"/>
      <c r="J595" s="30"/>
      <c r="K595" s="30"/>
      <c r="L595" s="30"/>
      <c r="M595" s="30"/>
      <c r="N595" s="30"/>
      <c r="O595" s="154"/>
      <c r="P595" s="154"/>
      <c r="Q595" s="50"/>
      <c r="R595" s="50"/>
      <c r="S595" s="50"/>
      <c r="T595" s="50"/>
      <c r="U595" s="50"/>
      <c r="V595" s="50"/>
      <c r="W595" s="50"/>
      <c r="X595" s="51"/>
      <c r="Y595" s="50"/>
      <c r="Z595" s="30"/>
      <c r="AA595" s="104"/>
      <c r="AB595" s="10"/>
      <c r="AC595" s="60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8"/>
      <c r="BC595" s="147"/>
      <c r="BD595" s="54"/>
      <c r="BE595" s="32"/>
    </row>
    <row r="596" spans="1:57" x14ac:dyDescent="0.3">
      <c r="A596" s="241" t="str">
        <f t="shared" si="10"/>
        <v/>
      </c>
      <c r="B596" s="323"/>
      <c r="C596" s="324"/>
      <c r="D596" s="325"/>
      <c r="E596" s="349"/>
      <c r="F596" s="347"/>
      <c r="G596" s="30"/>
      <c r="H596" s="30"/>
      <c r="I596" s="30"/>
      <c r="J596" s="30"/>
      <c r="K596" s="30"/>
      <c r="L596" s="30"/>
      <c r="M596" s="30"/>
      <c r="N596" s="30"/>
      <c r="O596" s="154"/>
      <c r="P596" s="154"/>
      <c r="Q596" s="50"/>
      <c r="R596" s="50"/>
      <c r="S596" s="50"/>
      <c r="T596" s="50"/>
      <c r="U596" s="50"/>
      <c r="V596" s="50"/>
      <c r="W596" s="50"/>
      <c r="X596" s="51"/>
      <c r="Y596" s="50"/>
      <c r="Z596" s="30"/>
      <c r="AA596" s="104"/>
      <c r="AB596" s="10"/>
      <c r="AC596" s="60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8"/>
      <c r="BC596" s="147"/>
      <c r="BD596" s="54"/>
      <c r="BE596" s="32"/>
    </row>
    <row r="597" spans="1:57" x14ac:dyDescent="0.3">
      <c r="A597" s="241" t="str">
        <f t="shared" ref="A597:A660" si="11">CONCATENATE(B597,C597)</f>
        <v/>
      </c>
      <c r="B597" s="323"/>
      <c r="C597" s="324"/>
      <c r="D597" s="325"/>
      <c r="E597" s="349"/>
      <c r="F597" s="347"/>
      <c r="G597" s="30"/>
      <c r="H597" s="30"/>
      <c r="I597" s="30"/>
      <c r="J597" s="30"/>
      <c r="K597" s="30"/>
      <c r="L597" s="30"/>
      <c r="M597" s="30"/>
      <c r="N597" s="30"/>
      <c r="O597" s="154"/>
      <c r="P597" s="154"/>
      <c r="Q597" s="50"/>
      <c r="R597" s="50"/>
      <c r="S597" s="50"/>
      <c r="T597" s="50"/>
      <c r="U597" s="50"/>
      <c r="V597" s="50"/>
      <c r="W597" s="50"/>
      <c r="X597" s="51"/>
      <c r="Y597" s="50"/>
      <c r="Z597" s="30"/>
      <c r="AA597" s="104"/>
      <c r="AB597" s="10"/>
      <c r="AC597" s="60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8"/>
      <c r="BC597" s="147"/>
      <c r="BD597" s="54"/>
      <c r="BE597" s="32"/>
    </row>
    <row r="598" spans="1:57" x14ac:dyDescent="0.3">
      <c r="A598" s="241" t="str">
        <f t="shared" si="11"/>
        <v/>
      </c>
      <c r="B598" s="323"/>
      <c r="C598" s="324"/>
      <c r="D598" s="325"/>
      <c r="E598" s="349"/>
      <c r="F598" s="347"/>
      <c r="G598" s="30"/>
      <c r="H598" s="30"/>
      <c r="I598" s="30"/>
      <c r="J598" s="30"/>
      <c r="K598" s="30"/>
      <c r="L598" s="30"/>
      <c r="M598" s="30"/>
      <c r="N598" s="30"/>
      <c r="O598" s="154"/>
      <c r="P598" s="154"/>
      <c r="Q598" s="50"/>
      <c r="R598" s="50"/>
      <c r="S598" s="50"/>
      <c r="T598" s="50"/>
      <c r="U598" s="50"/>
      <c r="V598" s="50"/>
      <c r="W598" s="50"/>
      <c r="X598" s="51"/>
      <c r="Y598" s="50"/>
      <c r="Z598" s="30"/>
      <c r="AA598" s="104"/>
      <c r="AB598" s="10"/>
      <c r="AC598" s="60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8"/>
      <c r="BC598" s="147"/>
      <c r="BD598" s="54"/>
      <c r="BE598" s="32"/>
    </row>
    <row r="599" spans="1:57" x14ac:dyDescent="0.3">
      <c r="A599" s="241" t="str">
        <f t="shared" si="11"/>
        <v/>
      </c>
      <c r="B599" s="323"/>
      <c r="C599" s="324"/>
      <c r="D599" s="325"/>
      <c r="E599" s="349"/>
      <c r="F599" s="347"/>
      <c r="G599" s="30"/>
      <c r="H599" s="30"/>
      <c r="I599" s="30"/>
      <c r="J599" s="30"/>
      <c r="K599" s="30"/>
      <c r="L599" s="30"/>
      <c r="M599" s="30"/>
      <c r="N599" s="30"/>
      <c r="O599" s="154"/>
      <c r="P599" s="154"/>
      <c r="Q599" s="50"/>
      <c r="R599" s="50"/>
      <c r="S599" s="50"/>
      <c r="T599" s="50"/>
      <c r="U599" s="50"/>
      <c r="V599" s="50"/>
      <c r="W599" s="50"/>
      <c r="X599" s="51"/>
      <c r="Y599" s="50"/>
      <c r="Z599" s="30"/>
      <c r="AA599" s="104"/>
      <c r="AB599" s="10"/>
      <c r="AC599" s="60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8"/>
      <c r="BC599" s="147"/>
      <c r="BD599" s="54"/>
      <c r="BE599" s="32"/>
    </row>
    <row r="600" spans="1:57" x14ac:dyDescent="0.3">
      <c r="A600" s="241" t="str">
        <f t="shared" si="11"/>
        <v/>
      </c>
      <c r="B600" s="323"/>
      <c r="C600" s="324"/>
      <c r="D600" s="325"/>
      <c r="E600" s="349"/>
      <c r="F600" s="347"/>
      <c r="G600" s="30"/>
      <c r="H600" s="30"/>
      <c r="I600" s="30"/>
      <c r="J600" s="30"/>
      <c r="K600" s="30"/>
      <c r="L600" s="30"/>
      <c r="M600" s="30"/>
      <c r="N600" s="30"/>
      <c r="O600" s="154"/>
      <c r="P600" s="154"/>
      <c r="Q600" s="50"/>
      <c r="R600" s="50"/>
      <c r="S600" s="50"/>
      <c r="T600" s="50"/>
      <c r="U600" s="50"/>
      <c r="V600" s="50"/>
      <c r="W600" s="50"/>
      <c r="X600" s="51"/>
      <c r="Y600" s="50"/>
      <c r="Z600" s="30"/>
      <c r="AA600" s="104"/>
      <c r="AB600" s="10"/>
      <c r="AC600" s="60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8"/>
      <c r="BC600" s="147"/>
      <c r="BD600" s="54"/>
      <c r="BE600" s="32"/>
    </row>
    <row r="601" spans="1:57" x14ac:dyDescent="0.3">
      <c r="A601" s="241" t="str">
        <f t="shared" si="11"/>
        <v/>
      </c>
      <c r="B601" s="323"/>
      <c r="C601" s="324"/>
      <c r="D601" s="325"/>
      <c r="E601" s="349"/>
      <c r="F601" s="347"/>
      <c r="G601" s="30"/>
      <c r="H601" s="30"/>
      <c r="I601" s="30"/>
      <c r="J601" s="30"/>
      <c r="K601" s="30"/>
      <c r="L601" s="30"/>
      <c r="M601" s="30"/>
      <c r="N601" s="30"/>
      <c r="O601" s="154"/>
      <c r="P601" s="154"/>
      <c r="Q601" s="50"/>
      <c r="R601" s="50"/>
      <c r="S601" s="50"/>
      <c r="T601" s="50"/>
      <c r="U601" s="50"/>
      <c r="V601" s="50"/>
      <c r="W601" s="50"/>
      <c r="X601" s="51"/>
      <c r="Y601" s="50"/>
      <c r="Z601" s="30"/>
      <c r="AA601" s="104"/>
      <c r="AB601" s="10"/>
      <c r="AC601" s="60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8"/>
      <c r="BC601" s="147"/>
      <c r="BD601" s="54"/>
      <c r="BE601" s="32"/>
    </row>
    <row r="602" spans="1:57" x14ac:dyDescent="0.3">
      <c r="A602" s="241" t="str">
        <f t="shared" si="11"/>
        <v/>
      </c>
      <c r="B602" s="323"/>
      <c r="C602" s="324"/>
      <c r="D602" s="325"/>
      <c r="E602" s="349"/>
      <c r="F602" s="347"/>
      <c r="G602" s="30"/>
      <c r="H602" s="30"/>
      <c r="I602" s="30"/>
      <c r="J602" s="30"/>
      <c r="K602" s="30"/>
      <c r="L602" s="30"/>
      <c r="M602" s="30"/>
      <c r="N602" s="30"/>
      <c r="O602" s="154"/>
      <c r="P602" s="154"/>
      <c r="Q602" s="50"/>
      <c r="R602" s="50"/>
      <c r="S602" s="50"/>
      <c r="T602" s="50"/>
      <c r="U602" s="50"/>
      <c r="V602" s="50"/>
      <c r="W602" s="50"/>
      <c r="X602" s="51"/>
      <c r="Y602" s="50"/>
      <c r="Z602" s="30"/>
      <c r="AA602" s="104"/>
      <c r="AB602" s="10"/>
      <c r="AC602" s="60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8"/>
      <c r="BC602" s="147"/>
      <c r="BD602" s="54"/>
      <c r="BE602" s="32"/>
    </row>
    <row r="603" spans="1:57" x14ac:dyDescent="0.3">
      <c r="A603" s="241" t="str">
        <f t="shared" si="11"/>
        <v/>
      </c>
      <c r="B603" s="323"/>
      <c r="C603" s="324"/>
      <c r="D603" s="325"/>
      <c r="E603" s="349"/>
      <c r="F603" s="347"/>
      <c r="G603" s="30"/>
      <c r="H603" s="30"/>
      <c r="I603" s="30"/>
      <c r="J603" s="30"/>
      <c r="K603" s="30"/>
      <c r="L603" s="30"/>
      <c r="M603" s="30"/>
      <c r="N603" s="30"/>
      <c r="O603" s="154"/>
      <c r="P603" s="154"/>
      <c r="Q603" s="50"/>
      <c r="R603" s="50"/>
      <c r="S603" s="50"/>
      <c r="T603" s="50"/>
      <c r="U603" s="50"/>
      <c r="V603" s="50"/>
      <c r="W603" s="50"/>
      <c r="X603" s="51"/>
      <c r="Y603" s="50"/>
      <c r="Z603" s="30"/>
      <c r="AA603" s="104"/>
      <c r="AB603" s="10"/>
      <c r="AC603" s="60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8"/>
      <c r="BC603" s="147"/>
      <c r="BD603" s="54"/>
      <c r="BE603" s="32"/>
    </row>
    <row r="604" spans="1:57" x14ac:dyDescent="0.3">
      <c r="A604" s="241" t="str">
        <f t="shared" si="11"/>
        <v/>
      </c>
      <c r="B604" s="323"/>
      <c r="C604" s="324"/>
      <c r="D604" s="325"/>
      <c r="E604" s="349"/>
      <c r="F604" s="347"/>
      <c r="G604" s="30"/>
      <c r="H604" s="30"/>
      <c r="I604" s="30"/>
      <c r="J604" s="30"/>
      <c r="K604" s="30"/>
      <c r="L604" s="30"/>
      <c r="M604" s="30"/>
      <c r="N604" s="30"/>
      <c r="O604" s="154"/>
      <c r="P604" s="154"/>
      <c r="Q604" s="50"/>
      <c r="R604" s="50"/>
      <c r="S604" s="50"/>
      <c r="T604" s="50"/>
      <c r="U604" s="50"/>
      <c r="V604" s="50"/>
      <c r="W604" s="50"/>
      <c r="X604" s="51"/>
      <c r="Y604" s="50"/>
      <c r="Z604" s="30"/>
      <c r="AA604" s="104"/>
      <c r="AB604" s="10"/>
      <c r="AC604" s="60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8"/>
      <c r="BC604" s="147"/>
      <c r="BD604" s="54"/>
      <c r="BE604" s="32"/>
    </row>
    <row r="605" spans="1:57" x14ac:dyDescent="0.3">
      <c r="A605" s="241" t="str">
        <f t="shared" si="11"/>
        <v/>
      </c>
      <c r="B605" s="323"/>
      <c r="C605" s="324"/>
      <c r="D605" s="325"/>
      <c r="E605" s="349"/>
      <c r="F605" s="347"/>
      <c r="G605" s="30"/>
      <c r="H605" s="30"/>
      <c r="I605" s="30"/>
      <c r="J605" s="30"/>
      <c r="K605" s="30"/>
      <c r="L605" s="30"/>
      <c r="M605" s="30"/>
      <c r="N605" s="30"/>
      <c r="O605" s="154"/>
      <c r="P605" s="154"/>
      <c r="Q605" s="50"/>
      <c r="R605" s="50"/>
      <c r="S605" s="50"/>
      <c r="T605" s="50"/>
      <c r="U605" s="50"/>
      <c r="V605" s="50"/>
      <c r="W605" s="50"/>
      <c r="X605" s="51"/>
      <c r="Y605" s="50"/>
      <c r="Z605" s="30"/>
      <c r="AA605" s="104"/>
      <c r="AB605" s="10"/>
      <c r="AC605" s="60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8"/>
      <c r="BC605" s="147"/>
      <c r="BD605" s="54"/>
      <c r="BE605" s="32"/>
    </row>
    <row r="606" spans="1:57" x14ac:dyDescent="0.3">
      <c r="A606" s="241" t="str">
        <f t="shared" si="11"/>
        <v/>
      </c>
      <c r="B606" s="323"/>
      <c r="C606" s="324"/>
      <c r="D606" s="325"/>
      <c r="E606" s="349"/>
      <c r="F606" s="347"/>
      <c r="G606" s="30"/>
      <c r="H606" s="30"/>
      <c r="I606" s="30"/>
      <c r="J606" s="30"/>
      <c r="K606" s="30"/>
      <c r="L606" s="30"/>
      <c r="M606" s="30"/>
      <c r="N606" s="30"/>
      <c r="O606" s="154"/>
      <c r="P606" s="154"/>
      <c r="Q606" s="50"/>
      <c r="R606" s="50"/>
      <c r="S606" s="50"/>
      <c r="T606" s="50"/>
      <c r="U606" s="50"/>
      <c r="V606" s="50"/>
      <c r="W606" s="50"/>
      <c r="X606" s="51"/>
      <c r="Y606" s="50"/>
      <c r="Z606" s="30"/>
      <c r="AA606" s="104"/>
      <c r="AB606" s="10"/>
      <c r="AC606" s="60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8"/>
      <c r="BC606" s="147"/>
      <c r="BD606" s="54"/>
      <c r="BE606" s="32"/>
    </row>
    <row r="607" spans="1:57" x14ac:dyDescent="0.3">
      <c r="A607" s="241" t="str">
        <f t="shared" si="11"/>
        <v/>
      </c>
      <c r="B607" s="323"/>
      <c r="C607" s="324"/>
      <c r="D607" s="325"/>
      <c r="E607" s="349"/>
      <c r="F607" s="347"/>
      <c r="G607" s="30"/>
      <c r="H607" s="30"/>
      <c r="I607" s="30"/>
      <c r="J607" s="30"/>
      <c r="K607" s="30"/>
      <c r="L607" s="30"/>
      <c r="M607" s="30"/>
      <c r="N607" s="30"/>
      <c r="O607" s="154"/>
      <c r="P607" s="154"/>
      <c r="Q607" s="50"/>
      <c r="R607" s="50"/>
      <c r="S607" s="50"/>
      <c r="T607" s="50"/>
      <c r="U607" s="50"/>
      <c r="V607" s="50"/>
      <c r="W607" s="50"/>
      <c r="X607" s="51"/>
      <c r="Y607" s="50"/>
      <c r="Z607" s="30"/>
      <c r="AA607" s="104"/>
      <c r="AB607" s="10"/>
      <c r="AC607" s="60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8"/>
      <c r="BC607" s="147"/>
      <c r="BD607" s="54"/>
      <c r="BE607" s="32"/>
    </row>
    <row r="608" spans="1:57" x14ac:dyDescent="0.3">
      <c r="A608" s="241" t="str">
        <f t="shared" si="11"/>
        <v/>
      </c>
      <c r="B608" s="323"/>
      <c r="C608" s="324"/>
      <c r="D608" s="325"/>
      <c r="E608" s="349"/>
      <c r="F608" s="347"/>
      <c r="G608" s="30"/>
      <c r="H608" s="30"/>
      <c r="I608" s="30"/>
      <c r="J608" s="30"/>
      <c r="K608" s="30"/>
      <c r="L608" s="30"/>
      <c r="M608" s="30"/>
      <c r="N608" s="30"/>
      <c r="O608" s="154"/>
      <c r="P608" s="154"/>
      <c r="Q608" s="50"/>
      <c r="R608" s="50"/>
      <c r="S608" s="50"/>
      <c r="T608" s="50"/>
      <c r="U608" s="50"/>
      <c r="V608" s="50"/>
      <c r="W608" s="50"/>
      <c r="X608" s="51"/>
      <c r="Y608" s="50"/>
      <c r="Z608" s="30"/>
      <c r="AA608" s="104"/>
      <c r="AB608" s="10"/>
      <c r="AC608" s="60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8"/>
      <c r="BC608" s="147"/>
      <c r="BD608" s="54"/>
      <c r="BE608" s="32"/>
    </row>
    <row r="609" spans="1:57" x14ac:dyDescent="0.3">
      <c r="A609" s="241" t="str">
        <f t="shared" si="11"/>
        <v/>
      </c>
      <c r="B609" s="323"/>
      <c r="C609" s="324"/>
      <c r="D609" s="325"/>
      <c r="E609" s="349"/>
      <c r="F609" s="347"/>
      <c r="G609" s="30"/>
      <c r="H609" s="30"/>
      <c r="I609" s="30"/>
      <c r="J609" s="30"/>
      <c r="K609" s="30"/>
      <c r="L609" s="30"/>
      <c r="M609" s="30"/>
      <c r="N609" s="30"/>
      <c r="O609" s="154"/>
      <c r="P609" s="154"/>
      <c r="Q609" s="50"/>
      <c r="R609" s="50"/>
      <c r="S609" s="50"/>
      <c r="T609" s="50"/>
      <c r="U609" s="50"/>
      <c r="V609" s="50"/>
      <c r="W609" s="50"/>
      <c r="X609" s="51"/>
      <c r="Y609" s="50"/>
      <c r="Z609" s="30"/>
      <c r="AA609" s="104"/>
      <c r="AB609" s="10"/>
      <c r="AC609" s="60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8"/>
      <c r="BC609" s="147"/>
      <c r="BD609" s="54"/>
      <c r="BE609" s="32"/>
    </row>
    <row r="610" spans="1:57" x14ac:dyDescent="0.3">
      <c r="A610" s="241" t="str">
        <f t="shared" si="11"/>
        <v/>
      </c>
      <c r="B610" s="323"/>
      <c r="C610" s="324"/>
      <c r="D610" s="325"/>
      <c r="E610" s="349"/>
      <c r="F610" s="347"/>
      <c r="G610" s="30"/>
      <c r="H610" s="30"/>
      <c r="I610" s="30"/>
      <c r="J610" s="30"/>
      <c r="K610" s="30"/>
      <c r="L610" s="30"/>
      <c r="M610" s="30"/>
      <c r="N610" s="30"/>
      <c r="O610" s="154"/>
      <c r="P610" s="154"/>
      <c r="Q610" s="50"/>
      <c r="R610" s="50"/>
      <c r="S610" s="50"/>
      <c r="T610" s="50"/>
      <c r="U610" s="50"/>
      <c r="V610" s="50"/>
      <c r="W610" s="50"/>
      <c r="X610" s="51"/>
      <c r="Y610" s="50"/>
      <c r="Z610" s="30"/>
      <c r="AA610" s="104"/>
      <c r="AB610" s="10"/>
      <c r="AC610" s="60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8"/>
      <c r="BC610" s="147"/>
      <c r="BD610" s="54"/>
      <c r="BE610" s="32"/>
    </row>
    <row r="611" spans="1:57" x14ac:dyDescent="0.3">
      <c r="A611" s="241" t="str">
        <f t="shared" si="11"/>
        <v/>
      </c>
      <c r="B611" s="323"/>
      <c r="C611" s="324"/>
      <c r="D611" s="325"/>
      <c r="E611" s="349"/>
      <c r="F611" s="347"/>
      <c r="G611" s="30"/>
      <c r="H611" s="30"/>
      <c r="I611" s="30"/>
      <c r="J611" s="30"/>
      <c r="K611" s="30"/>
      <c r="L611" s="30"/>
      <c r="M611" s="30"/>
      <c r="N611" s="30"/>
      <c r="O611" s="154"/>
      <c r="P611" s="154"/>
      <c r="Q611" s="50"/>
      <c r="R611" s="50"/>
      <c r="S611" s="50"/>
      <c r="T611" s="50"/>
      <c r="U611" s="50"/>
      <c r="V611" s="50"/>
      <c r="W611" s="50"/>
      <c r="X611" s="51"/>
      <c r="Y611" s="50"/>
      <c r="Z611" s="30"/>
      <c r="AA611" s="104"/>
      <c r="AB611" s="10"/>
      <c r="AC611" s="60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8"/>
      <c r="BC611" s="147"/>
      <c r="BD611" s="54"/>
      <c r="BE611" s="32"/>
    </row>
    <row r="612" spans="1:57" x14ac:dyDescent="0.3">
      <c r="A612" s="241" t="str">
        <f t="shared" si="11"/>
        <v/>
      </c>
      <c r="B612" s="323"/>
      <c r="C612" s="324"/>
      <c r="D612" s="325"/>
      <c r="E612" s="349"/>
      <c r="F612" s="347"/>
      <c r="G612" s="30"/>
      <c r="H612" s="30"/>
      <c r="I612" s="30"/>
      <c r="J612" s="30"/>
      <c r="K612" s="30"/>
      <c r="L612" s="30"/>
      <c r="M612" s="30"/>
      <c r="N612" s="30"/>
      <c r="O612" s="154"/>
      <c r="P612" s="154"/>
      <c r="Q612" s="50"/>
      <c r="R612" s="50"/>
      <c r="S612" s="50"/>
      <c r="T612" s="50"/>
      <c r="U612" s="50"/>
      <c r="V612" s="50"/>
      <c r="W612" s="50"/>
      <c r="X612" s="51"/>
      <c r="Y612" s="50"/>
      <c r="Z612" s="30"/>
      <c r="AA612" s="104"/>
      <c r="AB612" s="10"/>
      <c r="AC612" s="60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8"/>
      <c r="BC612" s="147"/>
      <c r="BD612" s="54"/>
      <c r="BE612" s="32"/>
    </row>
    <row r="613" spans="1:57" x14ac:dyDescent="0.3">
      <c r="A613" s="241" t="str">
        <f t="shared" si="11"/>
        <v/>
      </c>
      <c r="B613" s="323"/>
      <c r="C613" s="324"/>
      <c r="D613" s="325"/>
      <c r="E613" s="349"/>
      <c r="F613" s="347"/>
      <c r="G613" s="30"/>
      <c r="H613" s="30"/>
      <c r="I613" s="30"/>
      <c r="J613" s="30"/>
      <c r="K613" s="30"/>
      <c r="L613" s="30"/>
      <c r="M613" s="30"/>
      <c r="N613" s="30"/>
      <c r="O613" s="154"/>
      <c r="P613" s="154"/>
      <c r="Q613" s="50"/>
      <c r="R613" s="50"/>
      <c r="S613" s="50"/>
      <c r="T613" s="50"/>
      <c r="U613" s="50"/>
      <c r="V613" s="50"/>
      <c r="W613" s="50"/>
      <c r="X613" s="51"/>
      <c r="Y613" s="50"/>
      <c r="Z613" s="30"/>
      <c r="AA613" s="104"/>
      <c r="AB613" s="10"/>
      <c r="AC613" s="60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8"/>
      <c r="BC613" s="147"/>
      <c r="BD613" s="54"/>
      <c r="BE613" s="32"/>
    </row>
    <row r="614" spans="1:57" x14ac:dyDescent="0.3">
      <c r="A614" s="241" t="str">
        <f t="shared" si="11"/>
        <v/>
      </c>
      <c r="B614" s="323"/>
      <c r="C614" s="324"/>
      <c r="D614" s="325"/>
      <c r="E614" s="349"/>
      <c r="F614" s="347"/>
      <c r="G614" s="30"/>
      <c r="H614" s="30"/>
      <c r="I614" s="30"/>
      <c r="J614" s="30"/>
      <c r="K614" s="30"/>
      <c r="L614" s="30"/>
      <c r="M614" s="30"/>
      <c r="N614" s="30"/>
      <c r="O614" s="154"/>
      <c r="P614" s="154"/>
      <c r="Q614" s="50"/>
      <c r="R614" s="50"/>
      <c r="S614" s="50"/>
      <c r="T614" s="50"/>
      <c r="U614" s="50"/>
      <c r="V614" s="50"/>
      <c r="W614" s="50"/>
      <c r="X614" s="51"/>
      <c r="Y614" s="50"/>
      <c r="Z614" s="30"/>
      <c r="AA614" s="104"/>
      <c r="AB614" s="10"/>
      <c r="AC614" s="60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8"/>
      <c r="BC614" s="147"/>
      <c r="BD614" s="54"/>
      <c r="BE614" s="32"/>
    </row>
    <row r="615" spans="1:57" x14ac:dyDescent="0.3">
      <c r="A615" s="241" t="str">
        <f t="shared" si="11"/>
        <v/>
      </c>
      <c r="B615" s="323"/>
      <c r="C615" s="324"/>
      <c r="D615" s="325"/>
      <c r="E615" s="349"/>
      <c r="F615" s="347"/>
      <c r="G615" s="30"/>
      <c r="H615" s="30"/>
      <c r="I615" s="30"/>
      <c r="J615" s="30"/>
      <c r="K615" s="30"/>
      <c r="L615" s="30"/>
      <c r="M615" s="30"/>
      <c r="N615" s="30"/>
      <c r="O615" s="154"/>
      <c r="P615" s="154"/>
      <c r="Q615" s="50"/>
      <c r="R615" s="50"/>
      <c r="S615" s="50"/>
      <c r="T615" s="50"/>
      <c r="U615" s="50"/>
      <c r="V615" s="50"/>
      <c r="W615" s="50"/>
      <c r="X615" s="51"/>
      <c r="Y615" s="50"/>
      <c r="Z615" s="30"/>
      <c r="AA615" s="104"/>
      <c r="AB615" s="10"/>
      <c r="AC615" s="60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8"/>
      <c r="BC615" s="147"/>
      <c r="BD615" s="54"/>
      <c r="BE615" s="32"/>
    </row>
    <row r="616" spans="1:57" x14ac:dyDescent="0.3">
      <c r="A616" s="241" t="str">
        <f t="shared" si="11"/>
        <v/>
      </c>
      <c r="B616" s="323"/>
      <c r="C616" s="324"/>
      <c r="D616" s="325"/>
      <c r="E616" s="349"/>
      <c r="F616" s="347"/>
      <c r="G616" s="30"/>
      <c r="H616" s="30"/>
      <c r="I616" s="30"/>
      <c r="J616" s="30"/>
      <c r="K616" s="30"/>
      <c r="L616" s="30"/>
      <c r="M616" s="30"/>
      <c r="N616" s="30"/>
      <c r="O616" s="154"/>
      <c r="P616" s="154"/>
      <c r="Q616" s="50"/>
      <c r="R616" s="50"/>
      <c r="S616" s="50"/>
      <c r="T616" s="50"/>
      <c r="U616" s="50"/>
      <c r="V616" s="50"/>
      <c r="W616" s="50"/>
      <c r="X616" s="51"/>
      <c r="Y616" s="50"/>
      <c r="Z616" s="30"/>
      <c r="AA616" s="104"/>
      <c r="AB616" s="10"/>
      <c r="AC616" s="60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8"/>
      <c r="BC616" s="147"/>
      <c r="BD616" s="54"/>
      <c r="BE616" s="32"/>
    </row>
    <row r="617" spans="1:57" x14ac:dyDescent="0.3">
      <c r="A617" s="241" t="str">
        <f t="shared" si="11"/>
        <v/>
      </c>
      <c r="B617" s="323"/>
      <c r="C617" s="324"/>
      <c r="D617" s="325"/>
      <c r="E617" s="349"/>
      <c r="F617" s="347"/>
      <c r="G617" s="30"/>
      <c r="H617" s="30"/>
      <c r="I617" s="30"/>
      <c r="J617" s="30"/>
      <c r="K617" s="30"/>
      <c r="L617" s="30"/>
      <c r="M617" s="30"/>
      <c r="N617" s="30"/>
      <c r="O617" s="154"/>
      <c r="P617" s="154"/>
      <c r="Q617" s="50"/>
      <c r="R617" s="50"/>
      <c r="S617" s="50"/>
      <c r="T617" s="50"/>
      <c r="U617" s="50"/>
      <c r="V617" s="50"/>
      <c r="W617" s="50"/>
      <c r="X617" s="51"/>
      <c r="Y617" s="50"/>
      <c r="Z617" s="30"/>
      <c r="AA617" s="104"/>
      <c r="AB617" s="10"/>
      <c r="AC617" s="60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8"/>
      <c r="BC617" s="147"/>
      <c r="BD617" s="54"/>
      <c r="BE617" s="32"/>
    </row>
    <row r="618" spans="1:57" x14ac:dyDescent="0.3">
      <c r="A618" s="241" t="str">
        <f t="shared" si="11"/>
        <v/>
      </c>
      <c r="B618" s="323"/>
      <c r="C618" s="324"/>
      <c r="D618" s="325"/>
      <c r="E618" s="349"/>
      <c r="F618" s="347"/>
      <c r="G618" s="30"/>
      <c r="H618" s="30"/>
      <c r="I618" s="30"/>
      <c r="J618" s="30"/>
      <c r="K618" s="30"/>
      <c r="L618" s="30"/>
      <c r="M618" s="30"/>
      <c r="N618" s="30"/>
      <c r="O618" s="154"/>
      <c r="P618" s="154"/>
      <c r="Q618" s="50"/>
      <c r="R618" s="50"/>
      <c r="S618" s="50"/>
      <c r="T618" s="50"/>
      <c r="U618" s="50"/>
      <c r="V618" s="50"/>
      <c r="W618" s="50"/>
      <c r="X618" s="51"/>
      <c r="Y618" s="50"/>
      <c r="Z618" s="30"/>
      <c r="AA618" s="104"/>
      <c r="AB618" s="10"/>
      <c r="AC618" s="60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8"/>
      <c r="BC618" s="147"/>
      <c r="BD618" s="54"/>
      <c r="BE618" s="32"/>
    </row>
    <row r="619" spans="1:57" x14ac:dyDescent="0.3">
      <c r="A619" s="241" t="str">
        <f t="shared" si="11"/>
        <v/>
      </c>
      <c r="B619" s="323"/>
      <c r="C619" s="324"/>
      <c r="D619" s="325"/>
      <c r="E619" s="349"/>
      <c r="F619" s="347"/>
      <c r="G619" s="30"/>
      <c r="H619" s="30"/>
      <c r="I619" s="30"/>
      <c r="J619" s="30"/>
      <c r="K619" s="30"/>
      <c r="L619" s="30"/>
      <c r="M619" s="30"/>
      <c r="N619" s="30"/>
      <c r="O619" s="154"/>
      <c r="P619" s="154"/>
      <c r="Q619" s="50"/>
      <c r="R619" s="50"/>
      <c r="S619" s="50"/>
      <c r="T619" s="50"/>
      <c r="U619" s="50"/>
      <c r="V619" s="50"/>
      <c r="W619" s="50"/>
      <c r="X619" s="51"/>
      <c r="Y619" s="50"/>
      <c r="Z619" s="30"/>
      <c r="AA619" s="104"/>
      <c r="AB619" s="10"/>
      <c r="AC619" s="60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8"/>
      <c r="BC619" s="147"/>
      <c r="BD619" s="54"/>
      <c r="BE619" s="32"/>
    </row>
    <row r="620" spans="1:57" x14ac:dyDescent="0.3">
      <c r="A620" s="241" t="str">
        <f t="shared" si="11"/>
        <v/>
      </c>
      <c r="B620" s="323"/>
      <c r="C620" s="324"/>
      <c r="D620" s="325"/>
      <c r="E620" s="349"/>
      <c r="F620" s="347"/>
      <c r="G620" s="30"/>
      <c r="H620" s="30"/>
      <c r="I620" s="30"/>
      <c r="J620" s="30"/>
      <c r="K620" s="30"/>
      <c r="L620" s="30"/>
      <c r="M620" s="30"/>
      <c r="N620" s="30"/>
      <c r="O620" s="154"/>
      <c r="P620" s="154"/>
      <c r="Q620" s="50"/>
      <c r="R620" s="50"/>
      <c r="S620" s="50"/>
      <c r="T620" s="50"/>
      <c r="U620" s="50"/>
      <c r="V620" s="50"/>
      <c r="W620" s="50"/>
      <c r="X620" s="51"/>
      <c r="Y620" s="50"/>
      <c r="Z620" s="30"/>
      <c r="AA620" s="104"/>
      <c r="AB620" s="10"/>
      <c r="AC620" s="60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8"/>
      <c r="BC620" s="147"/>
      <c r="BD620" s="54"/>
      <c r="BE620" s="32"/>
    </row>
    <row r="621" spans="1:57" x14ac:dyDescent="0.3">
      <c r="A621" s="241" t="str">
        <f t="shared" si="11"/>
        <v/>
      </c>
      <c r="B621" s="323"/>
      <c r="C621" s="324"/>
      <c r="D621" s="325"/>
      <c r="E621" s="349"/>
      <c r="F621" s="347"/>
      <c r="G621" s="30"/>
      <c r="H621" s="30"/>
      <c r="I621" s="30"/>
      <c r="J621" s="30"/>
      <c r="K621" s="30"/>
      <c r="L621" s="30"/>
      <c r="M621" s="30"/>
      <c r="N621" s="30"/>
      <c r="O621" s="154"/>
      <c r="P621" s="154"/>
      <c r="Q621" s="50"/>
      <c r="R621" s="50"/>
      <c r="S621" s="50"/>
      <c r="T621" s="50"/>
      <c r="U621" s="50"/>
      <c r="V621" s="50"/>
      <c r="W621" s="50"/>
      <c r="X621" s="51"/>
      <c r="Y621" s="50"/>
      <c r="Z621" s="30"/>
      <c r="AA621" s="104"/>
      <c r="AB621" s="10"/>
      <c r="AC621" s="60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8"/>
      <c r="BC621" s="147"/>
      <c r="BD621" s="54"/>
      <c r="BE621" s="32"/>
    </row>
    <row r="622" spans="1:57" x14ac:dyDescent="0.3">
      <c r="A622" s="241" t="str">
        <f t="shared" si="11"/>
        <v/>
      </c>
      <c r="B622" s="323"/>
      <c r="C622" s="324"/>
      <c r="D622" s="325"/>
      <c r="E622" s="349"/>
      <c r="F622" s="347"/>
      <c r="G622" s="30"/>
      <c r="H622" s="30"/>
      <c r="I622" s="30"/>
      <c r="J622" s="30"/>
      <c r="K622" s="30"/>
      <c r="L622" s="30"/>
      <c r="M622" s="30"/>
      <c r="N622" s="30"/>
      <c r="O622" s="154"/>
      <c r="P622" s="154"/>
      <c r="Q622" s="50"/>
      <c r="R622" s="50"/>
      <c r="S622" s="50"/>
      <c r="T622" s="50"/>
      <c r="U622" s="50"/>
      <c r="V622" s="50"/>
      <c r="W622" s="50"/>
      <c r="X622" s="51"/>
      <c r="Y622" s="50"/>
      <c r="Z622" s="30"/>
      <c r="AA622" s="104"/>
      <c r="AB622" s="10"/>
      <c r="AC622" s="60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8"/>
      <c r="BC622" s="147"/>
      <c r="BD622" s="54"/>
      <c r="BE622" s="32"/>
    </row>
    <row r="623" spans="1:57" x14ac:dyDescent="0.3">
      <c r="A623" s="241" t="str">
        <f t="shared" si="11"/>
        <v/>
      </c>
      <c r="B623" s="323"/>
      <c r="C623" s="324"/>
      <c r="D623" s="325"/>
      <c r="E623" s="349"/>
      <c r="F623" s="347"/>
      <c r="G623" s="30"/>
      <c r="H623" s="30"/>
      <c r="I623" s="30"/>
      <c r="J623" s="30"/>
      <c r="K623" s="30"/>
      <c r="L623" s="30"/>
      <c r="M623" s="30"/>
      <c r="N623" s="30"/>
      <c r="O623" s="154"/>
      <c r="P623" s="154"/>
      <c r="Q623" s="50"/>
      <c r="R623" s="50"/>
      <c r="S623" s="50"/>
      <c r="T623" s="50"/>
      <c r="U623" s="50"/>
      <c r="V623" s="50"/>
      <c r="W623" s="50"/>
      <c r="X623" s="51"/>
      <c r="Y623" s="50"/>
      <c r="Z623" s="30"/>
      <c r="AA623" s="104"/>
      <c r="AB623" s="10"/>
      <c r="AC623" s="60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8"/>
      <c r="BC623" s="147"/>
      <c r="BD623" s="54"/>
      <c r="BE623" s="32"/>
    </row>
    <row r="624" spans="1:57" x14ac:dyDescent="0.3">
      <c r="A624" s="241" t="str">
        <f t="shared" si="11"/>
        <v/>
      </c>
      <c r="B624" s="323"/>
      <c r="C624" s="324"/>
      <c r="D624" s="325"/>
      <c r="E624" s="349"/>
      <c r="F624" s="347"/>
      <c r="G624" s="30"/>
      <c r="H624" s="30"/>
      <c r="I624" s="30"/>
      <c r="J624" s="30"/>
      <c r="K624" s="30"/>
      <c r="L624" s="30"/>
      <c r="M624" s="30"/>
      <c r="N624" s="30"/>
      <c r="O624" s="154"/>
      <c r="P624" s="154"/>
      <c r="Q624" s="50"/>
      <c r="R624" s="50"/>
      <c r="S624" s="50"/>
      <c r="T624" s="50"/>
      <c r="U624" s="50"/>
      <c r="V624" s="50"/>
      <c r="W624" s="50"/>
      <c r="X624" s="51"/>
      <c r="Y624" s="50"/>
      <c r="Z624" s="30"/>
      <c r="AA624" s="104"/>
      <c r="AB624" s="10"/>
      <c r="AC624" s="60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8"/>
      <c r="BC624" s="147"/>
      <c r="BD624" s="54"/>
      <c r="BE624" s="32"/>
    </row>
    <row r="625" spans="1:57" x14ac:dyDescent="0.3">
      <c r="A625" s="241" t="str">
        <f t="shared" si="11"/>
        <v/>
      </c>
      <c r="B625" s="323"/>
      <c r="C625" s="324"/>
      <c r="D625" s="325"/>
      <c r="E625" s="349"/>
      <c r="F625" s="347"/>
      <c r="G625" s="30"/>
      <c r="H625" s="30"/>
      <c r="I625" s="30"/>
      <c r="J625" s="30"/>
      <c r="K625" s="30"/>
      <c r="L625" s="30"/>
      <c r="M625" s="30"/>
      <c r="N625" s="30"/>
      <c r="O625" s="154"/>
      <c r="P625" s="154"/>
      <c r="Q625" s="50"/>
      <c r="R625" s="50"/>
      <c r="S625" s="50"/>
      <c r="T625" s="50"/>
      <c r="U625" s="50"/>
      <c r="V625" s="50"/>
      <c r="W625" s="50"/>
      <c r="X625" s="51"/>
      <c r="Y625" s="50"/>
      <c r="Z625" s="30"/>
      <c r="AA625" s="104"/>
      <c r="AB625" s="10"/>
      <c r="AC625" s="60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8"/>
      <c r="BC625" s="147"/>
      <c r="BD625" s="54"/>
      <c r="BE625" s="32"/>
    </row>
    <row r="626" spans="1:57" x14ac:dyDescent="0.3">
      <c r="A626" s="241" t="str">
        <f t="shared" si="11"/>
        <v/>
      </c>
      <c r="B626" s="323"/>
      <c r="C626" s="324"/>
      <c r="D626" s="325"/>
      <c r="E626" s="349"/>
      <c r="F626" s="347"/>
      <c r="G626" s="30"/>
      <c r="H626" s="30"/>
      <c r="I626" s="30"/>
      <c r="J626" s="30"/>
      <c r="K626" s="30"/>
      <c r="L626" s="30"/>
      <c r="M626" s="30"/>
      <c r="N626" s="30"/>
      <c r="O626" s="154"/>
      <c r="P626" s="154"/>
      <c r="Q626" s="50"/>
      <c r="R626" s="50"/>
      <c r="S626" s="50"/>
      <c r="T626" s="50"/>
      <c r="U626" s="50"/>
      <c r="V626" s="50"/>
      <c r="W626" s="50"/>
      <c r="X626" s="51"/>
      <c r="Y626" s="50"/>
      <c r="Z626" s="30"/>
      <c r="AA626" s="104"/>
      <c r="AB626" s="10"/>
      <c r="AC626" s="60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8"/>
      <c r="BC626" s="147"/>
      <c r="BD626" s="54"/>
      <c r="BE626" s="32"/>
    </row>
    <row r="627" spans="1:57" x14ac:dyDescent="0.3">
      <c r="A627" s="241" t="str">
        <f t="shared" si="11"/>
        <v/>
      </c>
      <c r="B627" s="323"/>
      <c r="C627" s="324"/>
      <c r="D627" s="325"/>
      <c r="E627" s="349"/>
      <c r="F627" s="347"/>
      <c r="G627" s="30"/>
      <c r="H627" s="30"/>
      <c r="I627" s="30"/>
      <c r="J627" s="30"/>
      <c r="K627" s="30"/>
      <c r="L627" s="30"/>
      <c r="M627" s="30"/>
      <c r="N627" s="30"/>
      <c r="O627" s="154"/>
      <c r="P627" s="154"/>
      <c r="Q627" s="50"/>
      <c r="R627" s="50"/>
      <c r="S627" s="50"/>
      <c r="T627" s="50"/>
      <c r="U627" s="50"/>
      <c r="V627" s="50"/>
      <c r="W627" s="50"/>
      <c r="X627" s="51"/>
      <c r="Y627" s="50"/>
      <c r="Z627" s="30"/>
      <c r="AA627" s="104"/>
      <c r="AB627" s="10"/>
      <c r="AC627" s="60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8"/>
      <c r="BC627" s="147"/>
      <c r="BD627" s="54"/>
      <c r="BE627" s="32"/>
    </row>
    <row r="628" spans="1:57" x14ac:dyDescent="0.3">
      <c r="A628" s="241" t="str">
        <f t="shared" si="11"/>
        <v/>
      </c>
      <c r="B628" s="323"/>
      <c r="C628" s="324"/>
      <c r="D628" s="325"/>
      <c r="E628" s="349"/>
      <c r="F628" s="347"/>
      <c r="G628" s="30"/>
      <c r="H628" s="30"/>
      <c r="I628" s="30"/>
      <c r="J628" s="30"/>
      <c r="K628" s="30"/>
      <c r="L628" s="30"/>
      <c r="M628" s="30"/>
      <c r="N628" s="30"/>
      <c r="O628" s="154"/>
      <c r="P628" s="154"/>
      <c r="Q628" s="50"/>
      <c r="R628" s="50"/>
      <c r="S628" s="50"/>
      <c r="T628" s="50"/>
      <c r="U628" s="50"/>
      <c r="V628" s="50"/>
      <c r="W628" s="50"/>
      <c r="X628" s="51"/>
      <c r="Y628" s="50"/>
      <c r="Z628" s="30"/>
      <c r="AA628" s="104"/>
      <c r="AB628" s="10"/>
      <c r="AC628" s="60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8"/>
      <c r="BC628" s="147"/>
      <c r="BD628" s="54"/>
      <c r="BE628" s="32"/>
    </row>
    <row r="629" spans="1:57" x14ac:dyDescent="0.3">
      <c r="A629" s="241" t="str">
        <f t="shared" si="11"/>
        <v/>
      </c>
      <c r="B629" s="323"/>
      <c r="C629" s="324"/>
      <c r="D629" s="325"/>
      <c r="E629" s="349"/>
      <c r="F629" s="347"/>
      <c r="G629" s="30"/>
      <c r="H629" s="30"/>
      <c r="I629" s="30"/>
      <c r="J629" s="30"/>
      <c r="K629" s="30"/>
      <c r="L629" s="30"/>
      <c r="M629" s="30"/>
      <c r="N629" s="30"/>
      <c r="O629" s="154"/>
      <c r="P629" s="154"/>
      <c r="Q629" s="50"/>
      <c r="R629" s="50"/>
      <c r="S629" s="50"/>
      <c r="T629" s="50"/>
      <c r="U629" s="50"/>
      <c r="V629" s="50"/>
      <c r="W629" s="50"/>
      <c r="X629" s="51"/>
      <c r="Y629" s="50"/>
      <c r="Z629" s="30"/>
      <c r="AA629" s="104"/>
      <c r="AB629" s="10"/>
      <c r="AC629" s="60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8"/>
      <c r="BC629" s="147"/>
      <c r="BD629" s="54"/>
      <c r="BE629" s="32"/>
    </row>
    <row r="630" spans="1:57" x14ac:dyDescent="0.3">
      <c r="A630" s="241" t="str">
        <f t="shared" si="11"/>
        <v/>
      </c>
      <c r="B630" s="323"/>
      <c r="C630" s="324"/>
      <c r="D630" s="325"/>
      <c r="E630" s="349"/>
      <c r="F630" s="347"/>
      <c r="G630" s="30"/>
      <c r="H630" s="30"/>
      <c r="I630" s="30"/>
      <c r="J630" s="30"/>
      <c r="K630" s="30"/>
      <c r="L630" s="30"/>
      <c r="M630" s="30"/>
      <c r="N630" s="30"/>
      <c r="O630" s="154"/>
      <c r="P630" s="154"/>
      <c r="Q630" s="50"/>
      <c r="R630" s="50"/>
      <c r="S630" s="50"/>
      <c r="T630" s="50"/>
      <c r="U630" s="50"/>
      <c r="V630" s="50"/>
      <c r="W630" s="50"/>
      <c r="X630" s="51"/>
      <c r="Y630" s="50"/>
      <c r="Z630" s="30"/>
      <c r="AA630" s="104"/>
      <c r="AB630" s="10"/>
      <c r="AC630" s="60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8"/>
      <c r="BC630" s="147"/>
      <c r="BD630" s="54"/>
      <c r="BE630" s="32"/>
    </row>
    <row r="631" spans="1:57" x14ac:dyDescent="0.3">
      <c r="A631" s="241" t="str">
        <f t="shared" si="11"/>
        <v/>
      </c>
      <c r="B631" s="323"/>
      <c r="C631" s="324"/>
      <c r="D631" s="325"/>
      <c r="E631" s="349"/>
      <c r="F631" s="347"/>
      <c r="G631" s="30"/>
      <c r="H631" s="30"/>
      <c r="I631" s="30"/>
      <c r="J631" s="30"/>
      <c r="K631" s="30"/>
      <c r="L631" s="30"/>
      <c r="M631" s="30"/>
      <c r="N631" s="30"/>
      <c r="O631" s="154"/>
      <c r="P631" s="154"/>
      <c r="Q631" s="50"/>
      <c r="R631" s="50"/>
      <c r="S631" s="50"/>
      <c r="T631" s="50"/>
      <c r="U631" s="50"/>
      <c r="V631" s="50"/>
      <c r="W631" s="50"/>
      <c r="X631" s="51"/>
      <c r="Y631" s="50"/>
      <c r="Z631" s="30"/>
      <c r="AA631" s="104"/>
      <c r="AB631" s="10"/>
      <c r="AC631" s="60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8"/>
      <c r="BC631" s="147"/>
      <c r="BD631" s="54"/>
      <c r="BE631" s="32"/>
    </row>
    <row r="632" spans="1:57" x14ac:dyDescent="0.3">
      <c r="A632" s="241" t="str">
        <f t="shared" si="11"/>
        <v/>
      </c>
      <c r="B632" s="323"/>
      <c r="C632" s="324"/>
      <c r="D632" s="325"/>
      <c r="E632" s="349"/>
      <c r="F632" s="347"/>
      <c r="G632" s="30"/>
      <c r="H632" s="30"/>
      <c r="I632" s="30"/>
      <c r="J632" s="30"/>
      <c r="K632" s="30"/>
      <c r="L632" s="30"/>
      <c r="M632" s="30"/>
      <c r="N632" s="30"/>
      <c r="O632" s="154"/>
      <c r="P632" s="154"/>
      <c r="Q632" s="50"/>
      <c r="R632" s="50"/>
      <c r="S632" s="50"/>
      <c r="T632" s="50"/>
      <c r="U632" s="50"/>
      <c r="V632" s="50"/>
      <c r="W632" s="50"/>
      <c r="X632" s="51"/>
      <c r="Y632" s="50"/>
      <c r="Z632" s="30"/>
      <c r="AA632" s="104"/>
      <c r="AB632" s="10"/>
      <c r="AC632" s="60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8"/>
      <c r="BC632" s="147"/>
      <c r="BD632" s="54"/>
      <c r="BE632" s="32"/>
    </row>
    <row r="633" spans="1:57" x14ac:dyDescent="0.3">
      <c r="A633" s="241" t="str">
        <f t="shared" si="11"/>
        <v/>
      </c>
      <c r="B633" s="323"/>
      <c r="C633" s="324"/>
      <c r="D633" s="325"/>
      <c r="E633" s="349"/>
      <c r="F633" s="347"/>
      <c r="G633" s="30"/>
      <c r="H633" s="30"/>
      <c r="I633" s="30"/>
      <c r="J633" s="30"/>
      <c r="K633" s="30"/>
      <c r="L633" s="30"/>
      <c r="M633" s="30"/>
      <c r="N633" s="30"/>
      <c r="O633" s="154"/>
      <c r="P633" s="154"/>
      <c r="Q633" s="50"/>
      <c r="R633" s="50"/>
      <c r="S633" s="50"/>
      <c r="T633" s="50"/>
      <c r="U633" s="50"/>
      <c r="V633" s="50"/>
      <c r="W633" s="50"/>
      <c r="X633" s="51"/>
      <c r="Y633" s="50"/>
      <c r="Z633" s="30"/>
      <c r="AA633" s="104"/>
      <c r="AB633" s="10"/>
      <c r="AC633" s="60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8"/>
      <c r="BC633" s="147"/>
      <c r="BD633" s="54"/>
      <c r="BE633" s="32"/>
    </row>
    <row r="634" spans="1:57" x14ac:dyDescent="0.3">
      <c r="A634" s="241" t="str">
        <f t="shared" si="11"/>
        <v/>
      </c>
      <c r="B634" s="323"/>
      <c r="C634" s="324"/>
      <c r="D634" s="325"/>
      <c r="E634" s="349"/>
      <c r="F634" s="347"/>
      <c r="G634" s="30"/>
      <c r="H634" s="30"/>
      <c r="I634" s="30"/>
      <c r="J634" s="30"/>
      <c r="K634" s="30"/>
      <c r="L634" s="30"/>
      <c r="M634" s="30"/>
      <c r="N634" s="30"/>
      <c r="O634" s="154"/>
      <c r="P634" s="154"/>
      <c r="Q634" s="50"/>
      <c r="R634" s="50"/>
      <c r="S634" s="50"/>
      <c r="T634" s="50"/>
      <c r="U634" s="50"/>
      <c r="V634" s="50"/>
      <c r="W634" s="50"/>
      <c r="X634" s="51"/>
      <c r="Y634" s="50"/>
      <c r="Z634" s="30"/>
      <c r="AA634" s="104"/>
      <c r="AB634" s="10"/>
      <c r="AC634" s="60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8"/>
      <c r="BC634" s="147"/>
      <c r="BD634" s="54"/>
      <c r="BE634" s="32"/>
    </row>
    <row r="635" spans="1:57" x14ac:dyDescent="0.3">
      <c r="A635" s="241" t="str">
        <f t="shared" si="11"/>
        <v/>
      </c>
      <c r="B635" s="323"/>
      <c r="C635" s="324"/>
      <c r="D635" s="325"/>
      <c r="E635" s="349"/>
      <c r="F635" s="347"/>
      <c r="G635" s="30"/>
      <c r="H635" s="30"/>
      <c r="I635" s="30"/>
      <c r="J635" s="30"/>
      <c r="K635" s="30"/>
      <c r="L635" s="30"/>
      <c r="M635" s="30"/>
      <c r="N635" s="30"/>
      <c r="O635" s="154"/>
      <c r="P635" s="154"/>
      <c r="Q635" s="50"/>
      <c r="R635" s="50"/>
      <c r="S635" s="50"/>
      <c r="T635" s="50"/>
      <c r="U635" s="50"/>
      <c r="V635" s="50"/>
      <c r="W635" s="50"/>
      <c r="X635" s="51"/>
      <c r="Y635" s="50"/>
      <c r="Z635" s="30"/>
      <c r="AA635" s="104"/>
      <c r="AB635" s="10"/>
      <c r="AC635" s="60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8"/>
      <c r="BC635" s="147"/>
      <c r="BD635" s="54"/>
      <c r="BE635" s="32"/>
    </row>
    <row r="636" spans="1:57" x14ac:dyDescent="0.3">
      <c r="A636" s="241" t="str">
        <f t="shared" si="11"/>
        <v/>
      </c>
      <c r="B636" s="323"/>
      <c r="C636" s="324"/>
      <c r="D636" s="325"/>
      <c r="E636" s="349"/>
      <c r="F636" s="347"/>
      <c r="G636" s="30"/>
      <c r="H636" s="30"/>
      <c r="I636" s="30"/>
      <c r="J636" s="30"/>
      <c r="K636" s="30"/>
      <c r="L636" s="30"/>
      <c r="M636" s="30"/>
      <c r="N636" s="30"/>
      <c r="O636" s="154"/>
      <c r="P636" s="154"/>
      <c r="Q636" s="50"/>
      <c r="R636" s="50"/>
      <c r="S636" s="50"/>
      <c r="T636" s="50"/>
      <c r="U636" s="50"/>
      <c r="V636" s="50"/>
      <c r="W636" s="50"/>
      <c r="X636" s="51"/>
      <c r="Y636" s="50"/>
      <c r="Z636" s="30"/>
      <c r="AA636" s="104"/>
      <c r="AB636" s="10"/>
      <c r="AC636" s="60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8"/>
      <c r="BC636" s="147"/>
      <c r="BD636" s="54"/>
      <c r="BE636" s="32"/>
    </row>
    <row r="637" spans="1:57" x14ac:dyDescent="0.3">
      <c r="A637" s="241" t="str">
        <f t="shared" si="11"/>
        <v/>
      </c>
      <c r="B637" s="323"/>
      <c r="C637" s="324"/>
      <c r="D637" s="325"/>
      <c r="E637" s="349"/>
      <c r="F637" s="347"/>
      <c r="G637" s="30"/>
      <c r="H637" s="30"/>
      <c r="I637" s="30"/>
      <c r="J637" s="30"/>
      <c r="K637" s="30"/>
      <c r="L637" s="30"/>
      <c r="M637" s="30"/>
      <c r="N637" s="30"/>
      <c r="O637" s="154"/>
      <c r="P637" s="154"/>
      <c r="Q637" s="50"/>
      <c r="R637" s="50"/>
      <c r="S637" s="50"/>
      <c r="T637" s="50"/>
      <c r="U637" s="50"/>
      <c r="V637" s="50"/>
      <c r="W637" s="50"/>
      <c r="X637" s="51"/>
      <c r="Y637" s="50"/>
      <c r="Z637" s="30"/>
      <c r="AA637" s="104"/>
      <c r="AB637" s="10"/>
      <c r="AC637" s="60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8"/>
      <c r="BC637" s="147"/>
      <c r="BD637" s="54"/>
      <c r="BE637" s="32"/>
    </row>
    <row r="638" spans="1:57" x14ac:dyDescent="0.3">
      <c r="A638" s="241" t="str">
        <f t="shared" si="11"/>
        <v/>
      </c>
      <c r="B638" s="323"/>
      <c r="C638" s="324"/>
      <c r="D638" s="325"/>
      <c r="E638" s="349"/>
      <c r="F638" s="347"/>
      <c r="G638" s="30"/>
      <c r="H638" s="30"/>
      <c r="I638" s="30"/>
      <c r="J638" s="30"/>
      <c r="K638" s="30"/>
      <c r="L638" s="30"/>
      <c r="M638" s="30"/>
      <c r="N638" s="30"/>
      <c r="O638" s="154"/>
      <c r="P638" s="154"/>
      <c r="Q638" s="50"/>
      <c r="R638" s="50"/>
      <c r="S638" s="50"/>
      <c r="T638" s="50"/>
      <c r="U638" s="50"/>
      <c r="V638" s="50"/>
      <c r="W638" s="50"/>
      <c r="X638" s="51"/>
      <c r="Y638" s="50"/>
      <c r="Z638" s="30"/>
      <c r="AA638" s="104"/>
      <c r="AB638" s="10"/>
      <c r="AC638" s="60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8"/>
      <c r="BC638" s="147"/>
      <c r="BD638" s="54"/>
      <c r="BE638" s="32"/>
    </row>
    <row r="639" spans="1:57" x14ac:dyDescent="0.3">
      <c r="A639" s="241" t="str">
        <f t="shared" si="11"/>
        <v/>
      </c>
      <c r="B639" s="323"/>
      <c r="C639" s="324"/>
      <c r="D639" s="325"/>
      <c r="E639" s="349"/>
      <c r="F639" s="347"/>
      <c r="G639" s="30"/>
      <c r="H639" s="30"/>
      <c r="I639" s="30"/>
      <c r="J639" s="30"/>
      <c r="K639" s="30"/>
      <c r="L639" s="30"/>
      <c r="M639" s="30"/>
      <c r="N639" s="30"/>
      <c r="O639" s="154"/>
      <c r="P639" s="154"/>
      <c r="Q639" s="50"/>
      <c r="R639" s="50"/>
      <c r="S639" s="50"/>
      <c r="T639" s="50"/>
      <c r="U639" s="50"/>
      <c r="V639" s="50"/>
      <c r="W639" s="50"/>
      <c r="X639" s="51"/>
      <c r="Y639" s="50"/>
      <c r="Z639" s="30"/>
      <c r="AA639" s="104"/>
      <c r="AB639" s="10"/>
      <c r="AC639" s="60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8"/>
      <c r="BC639" s="147"/>
      <c r="BD639" s="54"/>
      <c r="BE639" s="32"/>
    </row>
    <row r="640" spans="1:57" x14ac:dyDescent="0.3">
      <c r="A640" s="241" t="str">
        <f t="shared" si="11"/>
        <v/>
      </c>
      <c r="B640" s="323"/>
      <c r="C640" s="324"/>
      <c r="D640" s="325"/>
      <c r="E640" s="349"/>
      <c r="F640" s="347"/>
      <c r="G640" s="30"/>
      <c r="H640" s="30"/>
      <c r="I640" s="30"/>
      <c r="J640" s="30"/>
      <c r="K640" s="30"/>
      <c r="L640" s="30"/>
      <c r="M640" s="30"/>
      <c r="N640" s="30"/>
      <c r="O640" s="154"/>
      <c r="P640" s="154"/>
      <c r="Q640" s="50"/>
      <c r="R640" s="50"/>
      <c r="S640" s="50"/>
      <c r="T640" s="50"/>
      <c r="U640" s="50"/>
      <c r="V640" s="50"/>
      <c r="W640" s="50"/>
      <c r="X640" s="51"/>
      <c r="Y640" s="50"/>
      <c r="Z640" s="30"/>
      <c r="AA640" s="104"/>
      <c r="AB640" s="10"/>
      <c r="AC640" s="60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8"/>
      <c r="BC640" s="147"/>
      <c r="BD640" s="54"/>
      <c r="BE640" s="32"/>
    </row>
    <row r="641" spans="1:57" x14ac:dyDescent="0.3">
      <c r="A641" s="241" t="str">
        <f t="shared" si="11"/>
        <v/>
      </c>
      <c r="B641" s="323"/>
      <c r="C641" s="324"/>
      <c r="D641" s="325"/>
      <c r="E641" s="349"/>
      <c r="F641" s="347"/>
      <c r="G641" s="30"/>
      <c r="H641" s="30"/>
      <c r="I641" s="30"/>
      <c r="J641" s="30"/>
      <c r="K641" s="30"/>
      <c r="L641" s="30"/>
      <c r="M641" s="30"/>
      <c r="N641" s="30"/>
      <c r="O641" s="154"/>
      <c r="P641" s="154"/>
      <c r="Q641" s="50"/>
      <c r="R641" s="50"/>
      <c r="S641" s="50"/>
      <c r="T641" s="50"/>
      <c r="U641" s="50"/>
      <c r="V641" s="50"/>
      <c r="W641" s="50"/>
      <c r="X641" s="51"/>
      <c r="Y641" s="50"/>
      <c r="Z641" s="30"/>
      <c r="AA641" s="104"/>
      <c r="AB641" s="10"/>
      <c r="AC641" s="60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8"/>
      <c r="BC641" s="147"/>
      <c r="BD641" s="54"/>
      <c r="BE641" s="32"/>
    </row>
    <row r="642" spans="1:57" x14ac:dyDescent="0.3">
      <c r="A642" s="241" t="str">
        <f t="shared" si="11"/>
        <v/>
      </c>
      <c r="B642" s="323"/>
      <c r="C642" s="324"/>
      <c r="D642" s="325"/>
      <c r="E642" s="349"/>
      <c r="F642" s="347"/>
      <c r="G642" s="30"/>
      <c r="H642" s="30"/>
      <c r="I642" s="30"/>
      <c r="J642" s="30"/>
      <c r="K642" s="30"/>
      <c r="L642" s="30"/>
      <c r="M642" s="30"/>
      <c r="N642" s="30"/>
      <c r="O642" s="154"/>
      <c r="P642" s="154"/>
      <c r="Q642" s="50"/>
      <c r="R642" s="50"/>
      <c r="S642" s="50"/>
      <c r="T642" s="50"/>
      <c r="U642" s="50"/>
      <c r="V642" s="50"/>
      <c r="W642" s="50"/>
      <c r="X642" s="51"/>
      <c r="Y642" s="50"/>
      <c r="Z642" s="30"/>
      <c r="AA642" s="104"/>
      <c r="AB642" s="10"/>
      <c r="AC642" s="60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8"/>
      <c r="BC642" s="147"/>
      <c r="BD642" s="54"/>
      <c r="BE642" s="32"/>
    </row>
    <row r="643" spans="1:57" x14ac:dyDescent="0.3">
      <c r="A643" s="241" t="str">
        <f t="shared" si="11"/>
        <v/>
      </c>
      <c r="B643" s="323"/>
      <c r="C643" s="324"/>
      <c r="D643" s="325"/>
      <c r="E643" s="349"/>
      <c r="F643" s="347"/>
      <c r="G643" s="30"/>
      <c r="H643" s="30"/>
      <c r="I643" s="30"/>
      <c r="J643" s="30"/>
      <c r="K643" s="30"/>
      <c r="L643" s="30"/>
      <c r="M643" s="30"/>
      <c r="N643" s="30"/>
      <c r="O643" s="154"/>
      <c r="P643" s="154"/>
      <c r="Q643" s="50"/>
      <c r="R643" s="50"/>
      <c r="S643" s="50"/>
      <c r="T643" s="50"/>
      <c r="U643" s="50"/>
      <c r="V643" s="50"/>
      <c r="W643" s="50"/>
      <c r="X643" s="51"/>
      <c r="Y643" s="50"/>
      <c r="Z643" s="30"/>
      <c r="AA643" s="104"/>
      <c r="AB643" s="10"/>
      <c r="AC643" s="60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8"/>
      <c r="BC643" s="147"/>
      <c r="BD643" s="54"/>
      <c r="BE643" s="32"/>
    </row>
    <row r="644" spans="1:57" x14ac:dyDescent="0.3">
      <c r="A644" s="241" t="str">
        <f t="shared" si="11"/>
        <v/>
      </c>
      <c r="B644" s="323"/>
      <c r="C644" s="324"/>
      <c r="D644" s="325"/>
      <c r="E644" s="349"/>
      <c r="F644" s="347"/>
      <c r="G644" s="30"/>
      <c r="H644" s="30"/>
      <c r="I644" s="30"/>
      <c r="J644" s="30"/>
      <c r="K644" s="30"/>
      <c r="L644" s="30"/>
      <c r="M644" s="30"/>
      <c r="N644" s="30"/>
      <c r="O644" s="154"/>
      <c r="P644" s="154"/>
      <c r="Q644" s="50"/>
      <c r="R644" s="50"/>
      <c r="S644" s="50"/>
      <c r="T644" s="50"/>
      <c r="U644" s="50"/>
      <c r="V644" s="50"/>
      <c r="W644" s="50"/>
      <c r="X644" s="51"/>
      <c r="Y644" s="50"/>
      <c r="Z644" s="30"/>
      <c r="AA644" s="104"/>
      <c r="AB644" s="10"/>
      <c r="AC644" s="60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8"/>
      <c r="BC644" s="147"/>
      <c r="BD644" s="54"/>
      <c r="BE644" s="32"/>
    </row>
    <row r="645" spans="1:57" x14ac:dyDescent="0.3">
      <c r="A645" s="241" t="str">
        <f t="shared" si="11"/>
        <v/>
      </c>
      <c r="B645" s="323"/>
      <c r="C645" s="324"/>
      <c r="D645" s="325"/>
      <c r="E645" s="349"/>
      <c r="F645" s="347"/>
      <c r="G645" s="30"/>
      <c r="H645" s="30"/>
      <c r="I645" s="30"/>
      <c r="J645" s="30"/>
      <c r="K645" s="30"/>
      <c r="L645" s="30"/>
      <c r="M645" s="30"/>
      <c r="N645" s="30"/>
      <c r="O645" s="154"/>
      <c r="P645" s="154"/>
      <c r="Q645" s="50"/>
      <c r="R645" s="50"/>
      <c r="S645" s="50"/>
      <c r="T645" s="50"/>
      <c r="U645" s="50"/>
      <c r="V645" s="50"/>
      <c r="W645" s="50"/>
      <c r="X645" s="51"/>
      <c r="Y645" s="50"/>
      <c r="Z645" s="30"/>
      <c r="AA645" s="104"/>
      <c r="AB645" s="10"/>
      <c r="AC645" s="60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8"/>
      <c r="BC645" s="147"/>
      <c r="BD645" s="54"/>
      <c r="BE645" s="32"/>
    </row>
    <row r="646" spans="1:57" x14ac:dyDescent="0.3">
      <c r="A646" s="241" t="str">
        <f t="shared" si="11"/>
        <v/>
      </c>
      <c r="B646" s="323"/>
      <c r="C646" s="324"/>
      <c r="D646" s="325"/>
      <c r="E646" s="349"/>
      <c r="F646" s="347"/>
      <c r="G646" s="30"/>
      <c r="H646" s="30"/>
      <c r="I646" s="30"/>
      <c r="J646" s="30"/>
      <c r="K646" s="30"/>
      <c r="L646" s="30"/>
      <c r="M646" s="30"/>
      <c r="N646" s="30"/>
      <c r="O646" s="154"/>
      <c r="P646" s="154"/>
      <c r="Q646" s="50"/>
      <c r="R646" s="50"/>
      <c r="S646" s="50"/>
      <c r="T646" s="50"/>
      <c r="U646" s="50"/>
      <c r="V646" s="50"/>
      <c r="W646" s="50"/>
      <c r="X646" s="51"/>
      <c r="Y646" s="50"/>
      <c r="Z646" s="30"/>
      <c r="AA646" s="104"/>
      <c r="AB646" s="10"/>
      <c r="AC646" s="60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8"/>
      <c r="BC646" s="147"/>
      <c r="BD646" s="54"/>
      <c r="BE646" s="32"/>
    </row>
    <row r="647" spans="1:57" x14ac:dyDescent="0.3">
      <c r="A647" s="241" t="str">
        <f t="shared" si="11"/>
        <v/>
      </c>
      <c r="B647" s="323"/>
      <c r="C647" s="324"/>
      <c r="D647" s="325"/>
      <c r="E647" s="349"/>
      <c r="F647" s="347"/>
      <c r="G647" s="30"/>
      <c r="H647" s="30"/>
      <c r="I647" s="30"/>
      <c r="J647" s="30"/>
      <c r="K647" s="30"/>
      <c r="L647" s="30"/>
      <c r="M647" s="30"/>
      <c r="N647" s="30"/>
      <c r="O647" s="154"/>
      <c r="P647" s="154"/>
      <c r="Q647" s="50"/>
      <c r="R647" s="50"/>
      <c r="S647" s="50"/>
      <c r="T647" s="50"/>
      <c r="U647" s="50"/>
      <c r="V647" s="50"/>
      <c r="W647" s="50"/>
      <c r="X647" s="51"/>
      <c r="Y647" s="50"/>
      <c r="Z647" s="30"/>
      <c r="AA647" s="104"/>
      <c r="AB647" s="10"/>
      <c r="AC647" s="60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8"/>
      <c r="BC647" s="147"/>
      <c r="BD647" s="54"/>
      <c r="BE647" s="32"/>
    </row>
    <row r="648" spans="1:57" x14ac:dyDescent="0.3">
      <c r="A648" s="241" t="str">
        <f t="shared" si="11"/>
        <v/>
      </c>
      <c r="B648" s="323"/>
      <c r="C648" s="324"/>
      <c r="D648" s="325"/>
      <c r="E648" s="349"/>
      <c r="F648" s="347"/>
      <c r="G648" s="30"/>
      <c r="H648" s="30"/>
      <c r="I648" s="30"/>
      <c r="J648" s="30"/>
      <c r="K648" s="30"/>
      <c r="L648" s="30"/>
      <c r="M648" s="30"/>
      <c r="N648" s="30"/>
      <c r="O648" s="154"/>
      <c r="P648" s="154"/>
      <c r="Q648" s="50"/>
      <c r="R648" s="50"/>
      <c r="S648" s="50"/>
      <c r="T648" s="50"/>
      <c r="U648" s="50"/>
      <c r="V648" s="50"/>
      <c r="W648" s="50"/>
      <c r="X648" s="51"/>
      <c r="Y648" s="50"/>
      <c r="Z648" s="30"/>
      <c r="AA648" s="104"/>
      <c r="AB648" s="10"/>
      <c r="AC648" s="60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8"/>
      <c r="BC648" s="147"/>
      <c r="BD648" s="54"/>
      <c r="BE648" s="32"/>
    </row>
    <row r="649" spans="1:57" x14ac:dyDescent="0.3">
      <c r="A649" s="241" t="str">
        <f t="shared" si="11"/>
        <v/>
      </c>
      <c r="B649" s="323"/>
      <c r="C649" s="324"/>
      <c r="D649" s="325"/>
      <c r="E649" s="349"/>
      <c r="F649" s="347"/>
      <c r="G649" s="30"/>
      <c r="H649" s="30"/>
      <c r="I649" s="30"/>
      <c r="J649" s="30"/>
      <c r="K649" s="30"/>
      <c r="L649" s="30"/>
      <c r="M649" s="30"/>
      <c r="N649" s="30"/>
      <c r="O649" s="154"/>
      <c r="P649" s="154"/>
      <c r="Q649" s="50"/>
      <c r="R649" s="50"/>
      <c r="S649" s="50"/>
      <c r="T649" s="50"/>
      <c r="U649" s="50"/>
      <c r="V649" s="50"/>
      <c r="W649" s="50"/>
      <c r="X649" s="51"/>
      <c r="Y649" s="50"/>
      <c r="Z649" s="30"/>
      <c r="AA649" s="104"/>
      <c r="AB649" s="10"/>
      <c r="AC649" s="60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8"/>
      <c r="BC649" s="147"/>
      <c r="BD649" s="54"/>
      <c r="BE649" s="32"/>
    </row>
    <row r="650" spans="1:57" x14ac:dyDescent="0.3">
      <c r="A650" s="241" t="str">
        <f t="shared" si="11"/>
        <v/>
      </c>
      <c r="B650" s="323"/>
      <c r="C650" s="324"/>
      <c r="D650" s="325"/>
      <c r="E650" s="349"/>
      <c r="F650" s="347"/>
      <c r="G650" s="30"/>
      <c r="H650" s="30"/>
      <c r="I650" s="30"/>
      <c r="J650" s="30"/>
      <c r="K650" s="30"/>
      <c r="L650" s="30"/>
      <c r="M650" s="30"/>
      <c r="N650" s="30"/>
      <c r="O650" s="154"/>
      <c r="P650" s="154"/>
      <c r="Q650" s="50"/>
      <c r="R650" s="50"/>
      <c r="S650" s="50"/>
      <c r="T650" s="50"/>
      <c r="U650" s="50"/>
      <c r="V650" s="50"/>
      <c r="W650" s="50"/>
      <c r="X650" s="51"/>
      <c r="Y650" s="50"/>
      <c r="Z650" s="30"/>
      <c r="AA650" s="104"/>
      <c r="AB650" s="10"/>
      <c r="AC650" s="60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8"/>
      <c r="BC650" s="147"/>
      <c r="BD650" s="54"/>
      <c r="BE650" s="32"/>
    </row>
    <row r="651" spans="1:57" x14ac:dyDescent="0.3">
      <c r="A651" s="241" t="str">
        <f t="shared" si="11"/>
        <v/>
      </c>
      <c r="B651" s="323"/>
      <c r="C651" s="324"/>
      <c r="D651" s="325"/>
      <c r="E651" s="349"/>
      <c r="F651" s="347"/>
      <c r="G651" s="30"/>
      <c r="H651" s="30"/>
      <c r="I651" s="30"/>
      <c r="J651" s="30"/>
      <c r="K651" s="30"/>
      <c r="L651" s="30"/>
      <c r="M651" s="30"/>
      <c r="N651" s="30"/>
      <c r="O651" s="154"/>
      <c r="P651" s="154"/>
      <c r="Q651" s="50"/>
      <c r="R651" s="50"/>
      <c r="S651" s="50"/>
      <c r="T651" s="50"/>
      <c r="U651" s="50"/>
      <c r="V651" s="50"/>
      <c r="W651" s="50"/>
      <c r="X651" s="51"/>
      <c r="Y651" s="50"/>
      <c r="Z651" s="30"/>
      <c r="AA651" s="104"/>
      <c r="AB651" s="10"/>
      <c r="AC651" s="60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8"/>
      <c r="BC651" s="147"/>
      <c r="BD651" s="54"/>
      <c r="BE651" s="32"/>
    </row>
    <row r="652" spans="1:57" x14ac:dyDescent="0.3">
      <c r="A652" s="241" t="str">
        <f t="shared" si="11"/>
        <v/>
      </c>
      <c r="B652" s="323"/>
      <c r="C652" s="324"/>
      <c r="D652" s="325"/>
      <c r="E652" s="349"/>
      <c r="F652" s="347"/>
      <c r="G652" s="30"/>
      <c r="H652" s="30"/>
      <c r="I652" s="30"/>
      <c r="J652" s="30"/>
      <c r="K652" s="30"/>
      <c r="L652" s="30"/>
      <c r="M652" s="30"/>
      <c r="N652" s="30"/>
      <c r="O652" s="154"/>
      <c r="P652" s="154"/>
      <c r="Q652" s="50"/>
      <c r="R652" s="50"/>
      <c r="S652" s="50"/>
      <c r="T652" s="50"/>
      <c r="U652" s="50"/>
      <c r="V652" s="50"/>
      <c r="W652" s="50"/>
      <c r="X652" s="51"/>
      <c r="Y652" s="50"/>
      <c r="Z652" s="30"/>
      <c r="AA652" s="104"/>
      <c r="AB652" s="10"/>
      <c r="AC652" s="60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8"/>
      <c r="BC652" s="147"/>
      <c r="BD652" s="54"/>
      <c r="BE652" s="32"/>
    </row>
    <row r="653" spans="1:57" x14ac:dyDescent="0.3">
      <c r="A653" s="241" t="str">
        <f t="shared" si="11"/>
        <v/>
      </c>
      <c r="B653" s="323"/>
      <c r="C653" s="324"/>
      <c r="D653" s="325"/>
      <c r="E653" s="349"/>
      <c r="F653" s="347"/>
      <c r="G653" s="30"/>
      <c r="H653" s="30"/>
      <c r="I653" s="30"/>
      <c r="J653" s="30"/>
      <c r="K653" s="30"/>
      <c r="L653" s="30"/>
      <c r="M653" s="30"/>
      <c r="N653" s="30"/>
      <c r="O653" s="154"/>
      <c r="P653" s="154"/>
      <c r="Q653" s="50"/>
      <c r="R653" s="50"/>
      <c r="S653" s="50"/>
      <c r="T653" s="50"/>
      <c r="U653" s="50"/>
      <c r="V653" s="50"/>
      <c r="W653" s="50"/>
      <c r="X653" s="51"/>
      <c r="Y653" s="50"/>
      <c r="Z653" s="30"/>
      <c r="AA653" s="104"/>
      <c r="AB653" s="10"/>
      <c r="AC653" s="60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8"/>
      <c r="BC653" s="147"/>
      <c r="BD653" s="54"/>
      <c r="BE653" s="32"/>
    </row>
    <row r="654" spans="1:57" x14ac:dyDescent="0.3">
      <c r="A654" s="241" t="str">
        <f t="shared" si="11"/>
        <v/>
      </c>
      <c r="B654" s="323"/>
      <c r="C654" s="324"/>
      <c r="D654" s="325"/>
      <c r="E654" s="349"/>
      <c r="F654" s="347"/>
      <c r="G654" s="30"/>
      <c r="H654" s="30"/>
      <c r="I654" s="30"/>
      <c r="J654" s="30"/>
      <c r="K654" s="30"/>
      <c r="L654" s="30"/>
      <c r="M654" s="30"/>
      <c r="N654" s="30"/>
      <c r="O654" s="154"/>
      <c r="P654" s="154"/>
      <c r="Q654" s="50"/>
      <c r="R654" s="50"/>
      <c r="S654" s="50"/>
      <c r="T654" s="50"/>
      <c r="U654" s="50"/>
      <c r="V654" s="50"/>
      <c r="W654" s="50"/>
      <c r="X654" s="51"/>
      <c r="Y654" s="50"/>
      <c r="Z654" s="30"/>
      <c r="AA654" s="104"/>
      <c r="AB654" s="10"/>
      <c r="AC654" s="60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8"/>
      <c r="BC654" s="147"/>
      <c r="BD654" s="54"/>
      <c r="BE654" s="32"/>
    </row>
    <row r="655" spans="1:57" x14ac:dyDescent="0.3">
      <c r="A655" s="241" t="str">
        <f t="shared" si="11"/>
        <v/>
      </c>
      <c r="B655" s="323"/>
      <c r="C655" s="324"/>
      <c r="D655" s="325"/>
      <c r="E655" s="349"/>
      <c r="F655" s="347"/>
      <c r="G655" s="30"/>
      <c r="H655" s="30"/>
      <c r="I655" s="30"/>
      <c r="J655" s="30"/>
      <c r="K655" s="30"/>
      <c r="L655" s="30"/>
      <c r="M655" s="30"/>
      <c r="N655" s="30"/>
      <c r="O655" s="154"/>
      <c r="P655" s="154"/>
      <c r="Q655" s="50"/>
      <c r="R655" s="50"/>
      <c r="S655" s="50"/>
      <c r="T655" s="50"/>
      <c r="U655" s="50"/>
      <c r="V655" s="50"/>
      <c r="W655" s="50"/>
      <c r="X655" s="51"/>
      <c r="Y655" s="50"/>
      <c r="Z655" s="30"/>
      <c r="AA655" s="104"/>
      <c r="AB655" s="10"/>
      <c r="AC655" s="60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8"/>
      <c r="BC655" s="147"/>
      <c r="BD655" s="54"/>
      <c r="BE655" s="32"/>
    </row>
    <row r="656" spans="1:57" x14ac:dyDescent="0.3">
      <c r="A656" s="241" t="str">
        <f t="shared" si="11"/>
        <v/>
      </c>
      <c r="B656" s="323"/>
      <c r="C656" s="324"/>
      <c r="D656" s="325"/>
      <c r="E656" s="349"/>
      <c r="F656" s="347"/>
      <c r="G656" s="30"/>
      <c r="H656" s="30"/>
      <c r="I656" s="30"/>
      <c r="J656" s="30"/>
      <c r="K656" s="30"/>
      <c r="L656" s="30"/>
      <c r="M656" s="30"/>
      <c r="N656" s="30"/>
      <c r="O656" s="154"/>
      <c r="P656" s="154"/>
      <c r="Q656" s="50"/>
      <c r="R656" s="50"/>
      <c r="S656" s="50"/>
      <c r="T656" s="50"/>
      <c r="U656" s="50"/>
      <c r="V656" s="50"/>
      <c r="W656" s="50"/>
      <c r="X656" s="51"/>
      <c r="Y656" s="50"/>
      <c r="Z656" s="30"/>
      <c r="AA656" s="104"/>
      <c r="AB656" s="10"/>
      <c r="AC656" s="60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8"/>
      <c r="BC656" s="147"/>
      <c r="BD656" s="54"/>
      <c r="BE656" s="32"/>
    </row>
    <row r="657" spans="1:57" x14ac:dyDescent="0.3">
      <c r="A657" s="241" t="str">
        <f t="shared" si="11"/>
        <v/>
      </c>
      <c r="B657" s="323"/>
      <c r="C657" s="324"/>
      <c r="D657" s="325"/>
      <c r="E657" s="349"/>
      <c r="F657" s="347"/>
      <c r="G657" s="30"/>
      <c r="H657" s="30"/>
      <c r="I657" s="30"/>
      <c r="J657" s="30"/>
      <c r="K657" s="30"/>
      <c r="L657" s="30"/>
      <c r="M657" s="30"/>
      <c r="N657" s="30"/>
      <c r="O657" s="154"/>
      <c r="P657" s="154"/>
      <c r="Q657" s="50"/>
      <c r="R657" s="50"/>
      <c r="S657" s="50"/>
      <c r="T657" s="50"/>
      <c r="U657" s="50"/>
      <c r="V657" s="50"/>
      <c r="W657" s="50"/>
      <c r="X657" s="51"/>
      <c r="Y657" s="50"/>
      <c r="Z657" s="30"/>
      <c r="AA657" s="104"/>
      <c r="AB657" s="10"/>
      <c r="AC657" s="60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8"/>
      <c r="BC657" s="147"/>
      <c r="BD657" s="54"/>
      <c r="BE657" s="32"/>
    </row>
    <row r="658" spans="1:57" x14ac:dyDescent="0.3">
      <c r="A658" s="241" t="str">
        <f t="shared" si="11"/>
        <v/>
      </c>
      <c r="B658" s="323"/>
      <c r="C658" s="324"/>
      <c r="D658" s="325"/>
      <c r="E658" s="349"/>
      <c r="F658" s="347"/>
      <c r="G658" s="30"/>
      <c r="H658" s="30"/>
      <c r="I658" s="30"/>
      <c r="J658" s="30"/>
      <c r="K658" s="30"/>
      <c r="L658" s="30"/>
      <c r="M658" s="30"/>
      <c r="N658" s="30"/>
      <c r="O658" s="154"/>
      <c r="P658" s="154"/>
      <c r="Q658" s="50"/>
      <c r="R658" s="50"/>
      <c r="S658" s="50"/>
      <c r="T658" s="50"/>
      <c r="U658" s="50"/>
      <c r="V658" s="50"/>
      <c r="W658" s="50"/>
      <c r="X658" s="51"/>
      <c r="Y658" s="50"/>
      <c r="Z658" s="30"/>
      <c r="AA658" s="104"/>
      <c r="AB658" s="10"/>
      <c r="AC658" s="60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8"/>
      <c r="BC658" s="147"/>
      <c r="BD658" s="54"/>
      <c r="BE658" s="32"/>
    </row>
    <row r="659" spans="1:57" x14ac:dyDescent="0.3">
      <c r="A659" s="241" t="str">
        <f t="shared" si="11"/>
        <v/>
      </c>
      <c r="B659" s="323"/>
      <c r="C659" s="324"/>
      <c r="D659" s="325"/>
      <c r="E659" s="349"/>
      <c r="F659" s="347"/>
      <c r="G659" s="30"/>
      <c r="H659" s="30"/>
      <c r="I659" s="30"/>
      <c r="J659" s="30"/>
      <c r="K659" s="30"/>
      <c r="L659" s="30"/>
      <c r="M659" s="30"/>
      <c r="N659" s="30"/>
      <c r="O659" s="154"/>
      <c r="P659" s="154"/>
      <c r="Q659" s="50"/>
      <c r="R659" s="50"/>
      <c r="S659" s="50"/>
      <c r="T659" s="50"/>
      <c r="U659" s="50"/>
      <c r="V659" s="50"/>
      <c r="W659" s="50"/>
      <c r="X659" s="51"/>
      <c r="Y659" s="50"/>
      <c r="Z659" s="30"/>
      <c r="AA659" s="104"/>
      <c r="AB659" s="10"/>
      <c r="AC659" s="60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8"/>
      <c r="BC659" s="147"/>
      <c r="BD659" s="54"/>
      <c r="BE659" s="32"/>
    </row>
    <row r="660" spans="1:57" x14ac:dyDescent="0.3">
      <c r="A660" s="241" t="str">
        <f t="shared" si="11"/>
        <v/>
      </c>
      <c r="B660" s="323"/>
      <c r="C660" s="324"/>
      <c r="D660" s="325"/>
      <c r="E660" s="349"/>
      <c r="F660" s="347"/>
      <c r="G660" s="30"/>
      <c r="H660" s="30"/>
      <c r="I660" s="30"/>
      <c r="J660" s="30"/>
      <c r="K660" s="30"/>
      <c r="L660" s="30"/>
      <c r="M660" s="30"/>
      <c r="N660" s="30"/>
      <c r="O660" s="154"/>
      <c r="P660" s="154"/>
      <c r="Q660" s="50"/>
      <c r="R660" s="50"/>
      <c r="S660" s="50"/>
      <c r="T660" s="50"/>
      <c r="U660" s="50"/>
      <c r="V660" s="50"/>
      <c r="W660" s="50"/>
      <c r="X660" s="51"/>
      <c r="Y660" s="50"/>
      <c r="Z660" s="30"/>
      <c r="AA660" s="104"/>
      <c r="AB660" s="10"/>
      <c r="AC660" s="60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8"/>
      <c r="BC660" s="147"/>
      <c r="BD660" s="54"/>
      <c r="BE660" s="32"/>
    </row>
    <row r="661" spans="1:57" x14ac:dyDescent="0.3">
      <c r="A661" s="241" t="str">
        <f t="shared" ref="A661:A724" si="12">CONCATENATE(B661,C661)</f>
        <v/>
      </c>
      <c r="B661" s="323"/>
      <c r="C661" s="324"/>
      <c r="D661" s="325"/>
      <c r="E661" s="349"/>
      <c r="F661" s="347"/>
      <c r="G661" s="30"/>
      <c r="H661" s="30"/>
      <c r="I661" s="30"/>
      <c r="J661" s="30"/>
      <c r="K661" s="30"/>
      <c r="L661" s="30"/>
      <c r="M661" s="30"/>
      <c r="N661" s="30"/>
      <c r="O661" s="154"/>
      <c r="P661" s="154"/>
      <c r="Q661" s="50"/>
      <c r="R661" s="50"/>
      <c r="S661" s="50"/>
      <c r="T661" s="50"/>
      <c r="U661" s="50"/>
      <c r="V661" s="50"/>
      <c r="W661" s="50"/>
      <c r="X661" s="51"/>
      <c r="Y661" s="50"/>
      <c r="Z661" s="30"/>
      <c r="AA661" s="104"/>
      <c r="AB661" s="10"/>
      <c r="AC661" s="60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8"/>
      <c r="BC661" s="147"/>
      <c r="BD661" s="54"/>
      <c r="BE661" s="32"/>
    </row>
    <row r="662" spans="1:57" x14ac:dyDescent="0.3">
      <c r="A662" s="241" t="str">
        <f t="shared" si="12"/>
        <v/>
      </c>
      <c r="B662" s="323"/>
      <c r="C662" s="324"/>
      <c r="D662" s="325"/>
      <c r="E662" s="349"/>
      <c r="F662" s="347"/>
      <c r="G662" s="30"/>
      <c r="H662" s="30"/>
      <c r="I662" s="30"/>
      <c r="J662" s="30"/>
      <c r="K662" s="30"/>
      <c r="L662" s="30"/>
      <c r="M662" s="30"/>
      <c r="N662" s="30"/>
      <c r="O662" s="154"/>
      <c r="P662" s="154"/>
      <c r="Q662" s="50"/>
      <c r="R662" s="50"/>
      <c r="S662" s="50"/>
      <c r="T662" s="50"/>
      <c r="U662" s="50"/>
      <c r="V662" s="50"/>
      <c r="W662" s="50"/>
      <c r="X662" s="51"/>
      <c r="Y662" s="50"/>
      <c r="Z662" s="30"/>
      <c r="AA662" s="104"/>
      <c r="AB662" s="10"/>
      <c r="AC662" s="60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8"/>
      <c r="BC662" s="147"/>
      <c r="BD662" s="54"/>
      <c r="BE662" s="32"/>
    </row>
    <row r="663" spans="1:57" x14ac:dyDescent="0.3">
      <c r="A663" s="241" t="str">
        <f t="shared" si="12"/>
        <v/>
      </c>
      <c r="B663" s="323"/>
      <c r="C663" s="324"/>
      <c r="D663" s="325"/>
      <c r="E663" s="349"/>
      <c r="F663" s="347"/>
      <c r="G663" s="30"/>
      <c r="H663" s="30"/>
      <c r="I663" s="30"/>
      <c r="J663" s="30"/>
      <c r="K663" s="30"/>
      <c r="L663" s="30"/>
      <c r="M663" s="30"/>
      <c r="N663" s="30"/>
      <c r="O663" s="154"/>
      <c r="P663" s="154"/>
      <c r="Q663" s="50"/>
      <c r="R663" s="50"/>
      <c r="S663" s="50"/>
      <c r="T663" s="50"/>
      <c r="U663" s="50"/>
      <c r="V663" s="50"/>
      <c r="W663" s="50"/>
      <c r="X663" s="51"/>
      <c r="Y663" s="50"/>
      <c r="Z663" s="30"/>
      <c r="AA663" s="104"/>
      <c r="AB663" s="10"/>
      <c r="AC663" s="60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8"/>
      <c r="BC663" s="147"/>
      <c r="BD663" s="54"/>
      <c r="BE663" s="32"/>
    </row>
    <row r="664" spans="1:57" x14ac:dyDescent="0.3">
      <c r="A664" s="241" t="str">
        <f t="shared" si="12"/>
        <v/>
      </c>
      <c r="B664" s="323"/>
      <c r="C664" s="324"/>
      <c r="D664" s="325"/>
      <c r="E664" s="349"/>
      <c r="F664" s="347"/>
      <c r="G664" s="30"/>
      <c r="H664" s="30"/>
      <c r="I664" s="30"/>
      <c r="J664" s="30"/>
      <c r="K664" s="30"/>
      <c r="L664" s="30"/>
      <c r="M664" s="30"/>
      <c r="N664" s="30"/>
      <c r="O664" s="154"/>
      <c r="P664" s="154"/>
      <c r="Q664" s="50"/>
      <c r="R664" s="50"/>
      <c r="S664" s="50"/>
      <c r="T664" s="50"/>
      <c r="U664" s="50"/>
      <c r="V664" s="50"/>
      <c r="W664" s="50"/>
      <c r="X664" s="51"/>
      <c r="Y664" s="50"/>
      <c r="Z664" s="30"/>
      <c r="AA664" s="104"/>
      <c r="AB664" s="10"/>
      <c r="AC664" s="60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8"/>
      <c r="BC664" s="147"/>
      <c r="BD664" s="54"/>
      <c r="BE664" s="32"/>
    </row>
    <row r="665" spans="1:57" x14ac:dyDescent="0.3">
      <c r="A665" s="241" t="str">
        <f t="shared" si="12"/>
        <v/>
      </c>
      <c r="B665" s="323"/>
      <c r="C665" s="324"/>
      <c r="D665" s="325"/>
      <c r="E665" s="349"/>
      <c r="F665" s="347"/>
      <c r="G665" s="30"/>
      <c r="H665" s="30"/>
      <c r="I665" s="30"/>
      <c r="J665" s="30"/>
      <c r="K665" s="30"/>
      <c r="L665" s="30"/>
      <c r="M665" s="30"/>
      <c r="N665" s="30"/>
      <c r="O665" s="154"/>
      <c r="P665" s="154"/>
      <c r="Q665" s="50"/>
      <c r="R665" s="50"/>
      <c r="S665" s="50"/>
      <c r="T665" s="50"/>
      <c r="U665" s="50"/>
      <c r="V665" s="50"/>
      <c r="W665" s="50"/>
      <c r="X665" s="51"/>
      <c r="Y665" s="50"/>
      <c r="Z665" s="30"/>
      <c r="AA665" s="104"/>
      <c r="AB665" s="10"/>
      <c r="AC665" s="60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8"/>
      <c r="BC665" s="147"/>
      <c r="BD665" s="54"/>
      <c r="BE665" s="32"/>
    </row>
    <row r="666" spans="1:57" x14ac:dyDescent="0.3">
      <c r="A666" s="241" t="str">
        <f t="shared" si="12"/>
        <v/>
      </c>
      <c r="B666" s="323"/>
      <c r="C666" s="324"/>
      <c r="D666" s="325"/>
      <c r="E666" s="349"/>
      <c r="F666" s="347"/>
      <c r="G666" s="30"/>
      <c r="H666" s="30"/>
      <c r="I666" s="30"/>
      <c r="J666" s="30"/>
      <c r="K666" s="30"/>
      <c r="L666" s="30"/>
      <c r="M666" s="30"/>
      <c r="N666" s="30"/>
      <c r="O666" s="154"/>
      <c r="P666" s="154"/>
      <c r="Q666" s="50"/>
      <c r="R666" s="50"/>
      <c r="S666" s="50"/>
      <c r="T666" s="50"/>
      <c r="U666" s="50"/>
      <c r="V666" s="50"/>
      <c r="W666" s="50"/>
      <c r="X666" s="51"/>
      <c r="Y666" s="50"/>
      <c r="Z666" s="30"/>
      <c r="AA666" s="104"/>
      <c r="AB666" s="10"/>
      <c r="AC666" s="60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8"/>
      <c r="BC666" s="147"/>
      <c r="BD666" s="54"/>
      <c r="BE666" s="32"/>
    </row>
    <row r="667" spans="1:57" x14ac:dyDescent="0.3">
      <c r="A667" s="241" t="str">
        <f t="shared" si="12"/>
        <v/>
      </c>
      <c r="B667" s="323"/>
      <c r="C667" s="324"/>
      <c r="D667" s="325"/>
      <c r="E667" s="349"/>
      <c r="F667" s="347"/>
      <c r="G667" s="30"/>
      <c r="H667" s="30"/>
      <c r="I667" s="30"/>
      <c r="J667" s="30"/>
      <c r="K667" s="30"/>
      <c r="L667" s="30"/>
      <c r="M667" s="30"/>
      <c r="N667" s="30"/>
      <c r="O667" s="154"/>
      <c r="P667" s="154"/>
      <c r="Q667" s="50"/>
      <c r="R667" s="50"/>
      <c r="S667" s="50"/>
      <c r="T667" s="50"/>
      <c r="U667" s="50"/>
      <c r="V667" s="50"/>
      <c r="W667" s="50"/>
      <c r="X667" s="51"/>
      <c r="Y667" s="50"/>
      <c r="Z667" s="30"/>
      <c r="AA667" s="104"/>
      <c r="AB667" s="10"/>
      <c r="AC667" s="60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8"/>
      <c r="BC667" s="147"/>
      <c r="BD667" s="54"/>
      <c r="BE667" s="32"/>
    </row>
    <row r="668" spans="1:57" x14ac:dyDescent="0.3">
      <c r="A668" s="241" t="str">
        <f t="shared" si="12"/>
        <v/>
      </c>
      <c r="B668" s="323"/>
      <c r="C668" s="324"/>
      <c r="D668" s="325"/>
      <c r="E668" s="349"/>
      <c r="F668" s="347"/>
      <c r="G668" s="30"/>
      <c r="H668" s="30"/>
      <c r="I668" s="30"/>
      <c r="J668" s="30"/>
      <c r="K668" s="30"/>
      <c r="L668" s="30"/>
      <c r="M668" s="30"/>
      <c r="N668" s="30"/>
      <c r="O668" s="154"/>
      <c r="P668" s="154"/>
      <c r="Q668" s="50"/>
      <c r="R668" s="50"/>
      <c r="S668" s="50"/>
      <c r="T668" s="50"/>
      <c r="U668" s="50"/>
      <c r="V668" s="50"/>
      <c r="W668" s="50"/>
      <c r="X668" s="51"/>
      <c r="Y668" s="50"/>
      <c r="Z668" s="30"/>
      <c r="AA668" s="104"/>
      <c r="AB668" s="10"/>
      <c r="AC668" s="60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8"/>
      <c r="BC668" s="147"/>
      <c r="BD668" s="54"/>
      <c r="BE668" s="32"/>
    </row>
    <row r="669" spans="1:57" x14ac:dyDescent="0.3">
      <c r="A669" s="241" t="str">
        <f t="shared" si="12"/>
        <v/>
      </c>
      <c r="B669" s="323"/>
      <c r="C669" s="324"/>
      <c r="D669" s="325"/>
      <c r="E669" s="349"/>
      <c r="F669" s="347"/>
      <c r="G669" s="30"/>
      <c r="H669" s="30"/>
      <c r="I669" s="30"/>
      <c r="J669" s="30"/>
      <c r="K669" s="30"/>
      <c r="L669" s="30"/>
      <c r="M669" s="30"/>
      <c r="N669" s="30"/>
      <c r="O669" s="154"/>
      <c r="P669" s="154"/>
      <c r="Q669" s="50"/>
      <c r="R669" s="50"/>
      <c r="S669" s="50"/>
      <c r="T669" s="50"/>
      <c r="U669" s="50"/>
      <c r="V669" s="50"/>
      <c r="W669" s="50"/>
      <c r="X669" s="51"/>
      <c r="Y669" s="50"/>
      <c r="Z669" s="30"/>
      <c r="AA669" s="104"/>
      <c r="AB669" s="10"/>
      <c r="AC669" s="60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8"/>
      <c r="BC669" s="147"/>
      <c r="BD669" s="54"/>
      <c r="BE669" s="32"/>
    </row>
    <row r="670" spans="1:57" x14ac:dyDescent="0.3">
      <c r="A670" s="241" t="str">
        <f t="shared" si="12"/>
        <v/>
      </c>
      <c r="B670" s="323"/>
      <c r="C670" s="324"/>
      <c r="D670" s="325"/>
      <c r="E670" s="349"/>
      <c r="F670" s="347"/>
      <c r="G670" s="30"/>
      <c r="H670" s="30"/>
      <c r="I670" s="30"/>
      <c r="J670" s="30"/>
      <c r="K670" s="30"/>
      <c r="L670" s="30"/>
      <c r="M670" s="30"/>
      <c r="N670" s="30"/>
      <c r="O670" s="154"/>
      <c r="P670" s="154"/>
      <c r="Q670" s="50"/>
      <c r="R670" s="50"/>
      <c r="S670" s="50"/>
      <c r="T670" s="50"/>
      <c r="U670" s="50"/>
      <c r="V670" s="50"/>
      <c r="W670" s="50"/>
      <c r="X670" s="51"/>
      <c r="Y670" s="50"/>
      <c r="Z670" s="30"/>
      <c r="AA670" s="104"/>
      <c r="AB670" s="10"/>
      <c r="AC670" s="60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8"/>
      <c r="BC670" s="147"/>
      <c r="BD670" s="54"/>
      <c r="BE670" s="32"/>
    </row>
    <row r="671" spans="1:57" x14ac:dyDescent="0.3">
      <c r="A671" s="241" t="str">
        <f t="shared" si="12"/>
        <v/>
      </c>
      <c r="B671" s="323"/>
      <c r="C671" s="324"/>
      <c r="D671" s="325"/>
      <c r="E671" s="349"/>
      <c r="F671" s="347"/>
      <c r="G671" s="30"/>
      <c r="H671" s="30"/>
      <c r="I671" s="30"/>
      <c r="J671" s="30"/>
      <c r="K671" s="30"/>
      <c r="L671" s="30"/>
      <c r="M671" s="30"/>
      <c r="N671" s="30"/>
      <c r="O671" s="154"/>
      <c r="P671" s="154"/>
      <c r="Q671" s="50"/>
      <c r="R671" s="50"/>
      <c r="S671" s="50"/>
      <c r="T671" s="50"/>
      <c r="U671" s="50"/>
      <c r="V671" s="50"/>
      <c r="W671" s="50"/>
      <c r="X671" s="51"/>
      <c r="Y671" s="50"/>
      <c r="Z671" s="30"/>
      <c r="AA671" s="104"/>
      <c r="AB671" s="10"/>
      <c r="AC671" s="60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8"/>
      <c r="BC671" s="147"/>
      <c r="BD671" s="54"/>
      <c r="BE671" s="32"/>
    </row>
    <row r="672" spans="1:57" x14ac:dyDescent="0.3">
      <c r="A672" s="241" t="str">
        <f t="shared" si="12"/>
        <v/>
      </c>
      <c r="B672" s="323"/>
      <c r="C672" s="324"/>
      <c r="D672" s="325"/>
      <c r="E672" s="349"/>
      <c r="F672" s="347"/>
      <c r="G672" s="30"/>
      <c r="H672" s="30"/>
      <c r="I672" s="30"/>
      <c r="J672" s="30"/>
      <c r="K672" s="30"/>
      <c r="L672" s="30"/>
      <c r="M672" s="30"/>
      <c r="N672" s="30"/>
      <c r="O672" s="154"/>
      <c r="P672" s="154"/>
      <c r="Q672" s="50"/>
      <c r="R672" s="50"/>
      <c r="S672" s="50"/>
      <c r="T672" s="50"/>
      <c r="U672" s="50"/>
      <c r="V672" s="50"/>
      <c r="W672" s="50"/>
      <c r="X672" s="51"/>
      <c r="Y672" s="50"/>
      <c r="Z672" s="30"/>
      <c r="AA672" s="104"/>
      <c r="AB672" s="10"/>
      <c r="AC672" s="60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8"/>
      <c r="BC672" s="147"/>
      <c r="BD672" s="54"/>
      <c r="BE672" s="32"/>
    </row>
    <row r="673" spans="1:57" x14ac:dyDescent="0.3">
      <c r="A673" s="241" t="str">
        <f t="shared" si="12"/>
        <v/>
      </c>
      <c r="B673" s="323"/>
      <c r="C673" s="324"/>
      <c r="D673" s="325"/>
      <c r="E673" s="349"/>
      <c r="F673" s="347"/>
      <c r="G673" s="30"/>
      <c r="H673" s="30"/>
      <c r="I673" s="30"/>
      <c r="J673" s="30"/>
      <c r="K673" s="30"/>
      <c r="L673" s="30"/>
      <c r="M673" s="30"/>
      <c r="N673" s="30"/>
      <c r="O673" s="154"/>
      <c r="P673" s="154"/>
      <c r="Q673" s="50"/>
      <c r="R673" s="50"/>
      <c r="S673" s="50"/>
      <c r="T673" s="50"/>
      <c r="U673" s="50"/>
      <c r="V673" s="50"/>
      <c r="W673" s="50"/>
      <c r="X673" s="51"/>
      <c r="Y673" s="50"/>
      <c r="Z673" s="30"/>
      <c r="AA673" s="104"/>
      <c r="AB673" s="10"/>
      <c r="AC673" s="60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8"/>
      <c r="BC673" s="147"/>
      <c r="BD673" s="54"/>
      <c r="BE673" s="32"/>
    </row>
    <row r="674" spans="1:57" x14ac:dyDescent="0.3">
      <c r="A674" s="241" t="str">
        <f t="shared" si="12"/>
        <v/>
      </c>
      <c r="B674" s="323"/>
      <c r="C674" s="324"/>
      <c r="D674" s="325"/>
      <c r="E674" s="349"/>
      <c r="F674" s="347"/>
      <c r="G674" s="30"/>
      <c r="H674" s="30"/>
      <c r="I674" s="30"/>
      <c r="J674" s="30"/>
      <c r="K674" s="30"/>
      <c r="L674" s="30"/>
      <c r="M674" s="30"/>
      <c r="N674" s="30"/>
      <c r="O674" s="154"/>
      <c r="P674" s="154"/>
      <c r="Q674" s="50"/>
      <c r="R674" s="50"/>
      <c r="S674" s="50"/>
      <c r="T674" s="50"/>
      <c r="U674" s="50"/>
      <c r="V674" s="50"/>
      <c r="W674" s="50"/>
      <c r="X674" s="51"/>
      <c r="Y674" s="50"/>
      <c r="Z674" s="30"/>
      <c r="AA674" s="104"/>
      <c r="AB674" s="10"/>
      <c r="AC674" s="60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8"/>
      <c r="BC674" s="147"/>
      <c r="BD674" s="54"/>
      <c r="BE674" s="32"/>
    </row>
    <row r="675" spans="1:57" x14ac:dyDescent="0.3">
      <c r="A675" s="241" t="str">
        <f t="shared" si="12"/>
        <v/>
      </c>
      <c r="B675" s="323"/>
      <c r="C675" s="324"/>
      <c r="D675" s="325"/>
      <c r="E675" s="349"/>
      <c r="F675" s="347"/>
      <c r="G675" s="30"/>
      <c r="H675" s="30"/>
      <c r="I675" s="30"/>
      <c r="J675" s="30"/>
      <c r="K675" s="30"/>
      <c r="L675" s="30"/>
      <c r="M675" s="30"/>
      <c r="N675" s="30"/>
      <c r="O675" s="154"/>
      <c r="P675" s="154"/>
      <c r="Q675" s="50"/>
      <c r="R675" s="50"/>
      <c r="S675" s="50"/>
      <c r="T675" s="50"/>
      <c r="U675" s="50"/>
      <c r="V675" s="50"/>
      <c r="W675" s="50"/>
      <c r="X675" s="51"/>
      <c r="Y675" s="50"/>
      <c r="Z675" s="30"/>
      <c r="AA675" s="104"/>
      <c r="AB675" s="10"/>
      <c r="AC675" s="60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8"/>
      <c r="BC675" s="147"/>
      <c r="BD675" s="54"/>
      <c r="BE675" s="32"/>
    </row>
    <row r="676" spans="1:57" x14ac:dyDescent="0.3">
      <c r="A676" s="241" t="str">
        <f t="shared" si="12"/>
        <v/>
      </c>
      <c r="B676" s="323"/>
      <c r="C676" s="324"/>
      <c r="D676" s="325"/>
      <c r="E676" s="349"/>
      <c r="F676" s="347"/>
      <c r="G676" s="30"/>
      <c r="H676" s="30"/>
      <c r="I676" s="30"/>
      <c r="J676" s="30"/>
      <c r="K676" s="30"/>
      <c r="L676" s="30"/>
      <c r="M676" s="30"/>
      <c r="N676" s="30"/>
      <c r="O676" s="154"/>
      <c r="P676" s="154"/>
      <c r="Q676" s="50"/>
      <c r="R676" s="50"/>
      <c r="S676" s="50"/>
      <c r="T676" s="50"/>
      <c r="U676" s="50"/>
      <c r="V676" s="50"/>
      <c r="W676" s="50"/>
      <c r="X676" s="51"/>
      <c r="Y676" s="50"/>
      <c r="Z676" s="30"/>
      <c r="AA676" s="104"/>
      <c r="AB676" s="10"/>
      <c r="AC676" s="60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8"/>
      <c r="BC676" s="147"/>
      <c r="BD676" s="54"/>
      <c r="BE676" s="32"/>
    </row>
    <row r="677" spans="1:57" x14ac:dyDescent="0.3">
      <c r="A677" s="241" t="str">
        <f t="shared" si="12"/>
        <v/>
      </c>
      <c r="B677" s="323"/>
      <c r="C677" s="324"/>
      <c r="D677" s="325"/>
      <c r="E677" s="349"/>
      <c r="F677" s="347"/>
      <c r="G677" s="30"/>
      <c r="H677" s="30"/>
      <c r="I677" s="30"/>
      <c r="J677" s="30"/>
      <c r="K677" s="30"/>
      <c r="L677" s="30"/>
      <c r="M677" s="30"/>
      <c r="N677" s="30"/>
      <c r="O677" s="154"/>
      <c r="P677" s="154"/>
      <c r="Q677" s="50"/>
      <c r="R677" s="50"/>
      <c r="S677" s="50"/>
      <c r="T677" s="50"/>
      <c r="U677" s="50"/>
      <c r="V677" s="50"/>
      <c r="W677" s="50"/>
      <c r="X677" s="51"/>
      <c r="Y677" s="50"/>
      <c r="Z677" s="30"/>
      <c r="AA677" s="104"/>
      <c r="AB677" s="10"/>
      <c r="AC677" s="60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8"/>
      <c r="BC677" s="147"/>
      <c r="BD677" s="54"/>
      <c r="BE677" s="32"/>
    </row>
    <row r="678" spans="1:57" x14ac:dyDescent="0.3">
      <c r="A678" s="241" t="str">
        <f t="shared" si="12"/>
        <v/>
      </c>
      <c r="B678" s="323"/>
      <c r="C678" s="324"/>
      <c r="D678" s="325"/>
      <c r="E678" s="349"/>
      <c r="F678" s="347"/>
      <c r="G678" s="30"/>
      <c r="H678" s="30"/>
      <c r="I678" s="30"/>
      <c r="J678" s="30"/>
      <c r="K678" s="30"/>
      <c r="L678" s="30"/>
      <c r="M678" s="30"/>
      <c r="N678" s="30"/>
      <c r="O678" s="154"/>
      <c r="P678" s="154"/>
      <c r="Q678" s="50"/>
      <c r="R678" s="50"/>
      <c r="S678" s="50"/>
      <c r="T678" s="50"/>
      <c r="U678" s="50"/>
      <c r="V678" s="50"/>
      <c r="W678" s="50"/>
      <c r="X678" s="51"/>
      <c r="Y678" s="50"/>
      <c r="Z678" s="30"/>
      <c r="AA678" s="104"/>
      <c r="AB678" s="10"/>
      <c r="AC678" s="60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8"/>
      <c r="BC678" s="147"/>
      <c r="BD678" s="54"/>
      <c r="BE678" s="32"/>
    </row>
    <row r="679" spans="1:57" x14ac:dyDescent="0.3">
      <c r="A679" s="241" t="str">
        <f t="shared" si="12"/>
        <v/>
      </c>
      <c r="B679" s="323"/>
      <c r="C679" s="324"/>
      <c r="D679" s="325"/>
      <c r="E679" s="349"/>
      <c r="F679" s="347"/>
      <c r="G679" s="30"/>
      <c r="H679" s="30"/>
      <c r="I679" s="30"/>
      <c r="J679" s="30"/>
      <c r="K679" s="30"/>
      <c r="L679" s="30"/>
      <c r="M679" s="30"/>
      <c r="N679" s="30"/>
      <c r="O679" s="154"/>
      <c r="P679" s="154"/>
      <c r="Q679" s="50"/>
      <c r="R679" s="50"/>
      <c r="S679" s="50"/>
      <c r="T679" s="50"/>
      <c r="U679" s="50"/>
      <c r="V679" s="50"/>
      <c r="W679" s="50"/>
      <c r="X679" s="51"/>
      <c r="Y679" s="50"/>
      <c r="Z679" s="30"/>
      <c r="AA679" s="104"/>
      <c r="AB679" s="10"/>
      <c r="AC679" s="60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8"/>
      <c r="BC679" s="147"/>
      <c r="BD679" s="54"/>
      <c r="BE679" s="32"/>
    </row>
    <row r="680" spans="1:57" x14ac:dyDescent="0.3">
      <c r="A680" s="241" t="str">
        <f t="shared" si="12"/>
        <v/>
      </c>
      <c r="B680" s="323"/>
      <c r="C680" s="324"/>
      <c r="D680" s="325"/>
      <c r="E680" s="349"/>
      <c r="F680" s="347"/>
      <c r="G680" s="30"/>
      <c r="H680" s="30"/>
      <c r="I680" s="30"/>
      <c r="J680" s="30"/>
      <c r="K680" s="30"/>
      <c r="L680" s="30"/>
      <c r="M680" s="30"/>
      <c r="N680" s="30"/>
      <c r="O680" s="154"/>
      <c r="P680" s="154"/>
      <c r="Q680" s="50"/>
      <c r="R680" s="50"/>
      <c r="S680" s="50"/>
      <c r="T680" s="50"/>
      <c r="U680" s="50"/>
      <c r="V680" s="50"/>
      <c r="W680" s="50"/>
      <c r="X680" s="51"/>
      <c r="Y680" s="50"/>
      <c r="Z680" s="30"/>
      <c r="AA680" s="104"/>
      <c r="AB680" s="10"/>
      <c r="AC680" s="60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8"/>
      <c r="BC680" s="147"/>
      <c r="BD680" s="54"/>
      <c r="BE680" s="32"/>
    </row>
    <row r="681" spans="1:57" x14ac:dyDescent="0.3">
      <c r="A681" s="241" t="str">
        <f t="shared" si="12"/>
        <v/>
      </c>
      <c r="B681" s="323"/>
      <c r="C681" s="324"/>
      <c r="D681" s="325"/>
      <c r="E681" s="349"/>
      <c r="F681" s="347"/>
      <c r="G681" s="30"/>
      <c r="H681" s="30"/>
      <c r="I681" s="30"/>
      <c r="J681" s="30"/>
      <c r="K681" s="30"/>
      <c r="L681" s="30"/>
      <c r="M681" s="30"/>
      <c r="N681" s="30"/>
      <c r="O681" s="154"/>
      <c r="P681" s="154"/>
      <c r="Q681" s="50"/>
      <c r="R681" s="50"/>
      <c r="S681" s="50"/>
      <c r="T681" s="50"/>
      <c r="U681" s="50"/>
      <c r="V681" s="50"/>
      <c r="W681" s="50"/>
      <c r="X681" s="51"/>
      <c r="Y681" s="50"/>
      <c r="Z681" s="30"/>
      <c r="AA681" s="104"/>
      <c r="AB681" s="10"/>
      <c r="AC681" s="60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8"/>
      <c r="BC681" s="147"/>
      <c r="BD681" s="54"/>
      <c r="BE681" s="32"/>
    </row>
    <row r="682" spans="1:57" x14ac:dyDescent="0.3">
      <c r="A682" s="241" t="str">
        <f t="shared" si="12"/>
        <v/>
      </c>
      <c r="B682" s="323"/>
      <c r="C682" s="324"/>
      <c r="D682" s="325"/>
      <c r="E682" s="349"/>
      <c r="F682" s="347"/>
      <c r="G682" s="30"/>
      <c r="H682" s="30"/>
      <c r="I682" s="30"/>
      <c r="J682" s="30"/>
      <c r="K682" s="30"/>
      <c r="L682" s="30"/>
      <c r="M682" s="30"/>
      <c r="N682" s="30"/>
      <c r="O682" s="154"/>
      <c r="P682" s="154"/>
      <c r="Q682" s="50"/>
      <c r="R682" s="50"/>
      <c r="S682" s="50"/>
      <c r="T682" s="50"/>
      <c r="U682" s="50"/>
      <c r="V682" s="50"/>
      <c r="W682" s="50"/>
      <c r="X682" s="51"/>
      <c r="Y682" s="50"/>
      <c r="Z682" s="30"/>
      <c r="AA682" s="104"/>
      <c r="AB682" s="10"/>
      <c r="AC682" s="60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8"/>
      <c r="BC682" s="147"/>
      <c r="BD682" s="54"/>
      <c r="BE682" s="32"/>
    </row>
    <row r="683" spans="1:57" x14ac:dyDescent="0.3">
      <c r="A683" s="241" t="str">
        <f t="shared" si="12"/>
        <v/>
      </c>
      <c r="B683" s="323"/>
      <c r="C683" s="324"/>
      <c r="D683" s="325"/>
      <c r="E683" s="349"/>
      <c r="F683" s="347"/>
      <c r="G683" s="30"/>
      <c r="H683" s="30"/>
      <c r="I683" s="30"/>
      <c r="J683" s="30"/>
      <c r="K683" s="30"/>
      <c r="L683" s="30"/>
      <c r="M683" s="30"/>
      <c r="N683" s="30"/>
      <c r="O683" s="154"/>
      <c r="P683" s="154"/>
      <c r="Q683" s="50"/>
      <c r="R683" s="50"/>
      <c r="S683" s="50"/>
      <c r="T683" s="50"/>
      <c r="U683" s="50"/>
      <c r="V683" s="50"/>
      <c r="W683" s="50"/>
      <c r="X683" s="51"/>
      <c r="Y683" s="50"/>
      <c r="Z683" s="30"/>
      <c r="AA683" s="104"/>
      <c r="AB683" s="10"/>
      <c r="AC683" s="60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8"/>
      <c r="BC683" s="147"/>
      <c r="BD683" s="54"/>
      <c r="BE683" s="32"/>
    </row>
    <row r="684" spans="1:57" x14ac:dyDescent="0.3">
      <c r="A684" s="241" t="str">
        <f t="shared" si="12"/>
        <v/>
      </c>
      <c r="B684" s="323"/>
      <c r="C684" s="324"/>
      <c r="D684" s="325"/>
      <c r="E684" s="349"/>
      <c r="F684" s="347"/>
      <c r="G684" s="30"/>
      <c r="H684" s="30"/>
      <c r="I684" s="30"/>
      <c r="J684" s="30"/>
      <c r="K684" s="30"/>
      <c r="L684" s="30"/>
      <c r="M684" s="30"/>
      <c r="N684" s="30"/>
      <c r="O684" s="154"/>
      <c r="P684" s="154"/>
      <c r="Q684" s="50"/>
      <c r="R684" s="50"/>
      <c r="S684" s="50"/>
      <c r="T684" s="50"/>
      <c r="U684" s="50"/>
      <c r="V684" s="50"/>
      <c r="W684" s="50"/>
      <c r="X684" s="51"/>
      <c r="Y684" s="50"/>
      <c r="Z684" s="30"/>
      <c r="AA684" s="104"/>
      <c r="AB684" s="10"/>
      <c r="AC684" s="60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8"/>
      <c r="BC684" s="147"/>
      <c r="BD684" s="54"/>
      <c r="BE684" s="32"/>
    </row>
    <row r="685" spans="1:57" x14ac:dyDescent="0.3">
      <c r="A685" s="241" t="str">
        <f t="shared" si="12"/>
        <v/>
      </c>
      <c r="B685" s="323"/>
      <c r="C685" s="324"/>
      <c r="D685" s="325"/>
      <c r="E685" s="349"/>
      <c r="F685" s="347"/>
      <c r="G685" s="30"/>
      <c r="H685" s="30"/>
      <c r="I685" s="30"/>
      <c r="J685" s="30"/>
      <c r="K685" s="30"/>
      <c r="L685" s="30"/>
      <c r="M685" s="30"/>
      <c r="N685" s="30"/>
      <c r="O685" s="154"/>
      <c r="P685" s="154"/>
      <c r="Q685" s="50"/>
      <c r="R685" s="50"/>
      <c r="S685" s="50"/>
      <c r="T685" s="50"/>
      <c r="U685" s="50"/>
      <c r="V685" s="50"/>
      <c r="W685" s="50"/>
      <c r="X685" s="51"/>
      <c r="Y685" s="50"/>
      <c r="Z685" s="30"/>
      <c r="AA685" s="104"/>
      <c r="AB685" s="10"/>
      <c r="AC685" s="60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8"/>
      <c r="BC685" s="147"/>
      <c r="BD685" s="54"/>
      <c r="BE685" s="32"/>
    </row>
    <row r="686" spans="1:57" x14ac:dyDescent="0.3">
      <c r="A686" s="241" t="str">
        <f t="shared" si="12"/>
        <v/>
      </c>
      <c r="B686" s="323"/>
      <c r="C686" s="324"/>
      <c r="D686" s="325"/>
      <c r="E686" s="349"/>
      <c r="F686" s="347"/>
      <c r="G686" s="30"/>
      <c r="H686" s="30"/>
      <c r="I686" s="30"/>
      <c r="J686" s="30"/>
      <c r="K686" s="30"/>
      <c r="L686" s="30"/>
      <c r="M686" s="30"/>
      <c r="N686" s="30"/>
      <c r="O686" s="154"/>
      <c r="P686" s="154"/>
      <c r="Q686" s="50"/>
      <c r="R686" s="50"/>
      <c r="S686" s="50"/>
      <c r="T686" s="50"/>
      <c r="U686" s="50"/>
      <c r="V686" s="50"/>
      <c r="W686" s="50"/>
      <c r="X686" s="51"/>
      <c r="Y686" s="50"/>
      <c r="Z686" s="30"/>
      <c r="AA686" s="104"/>
      <c r="AB686" s="10"/>
      <c r="AC686" s="60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8"/>
      <c r="BC686" s="147"/>
      <c r="BD686" s="54"/>
      <c r="BE686" s="32"/>
    </row>
    <row r="687" spans="1:57" x14ac:dyDescent="0.3">
      <c r="A687" s="241" t="str">
        <f t="shared" si="12"/>
        <v/>
      </c>
      <c r="B687" s="323"/>
      <c r="C687" s="324"/>
      <c r="D687" s="325"/>
      <c r="E687" s="349"/>
      <c r="F687" s="347"/>
      <c r="G687" s="30"/>
      <c r="H687" s="30"/>
      <c r="I687" s="30"/>
      <c r="J687" s="30"/>
      <c r="K687" s="30"/>
      <c r="L687" s="30"/>
      <c r="M687" s="30"/>
      <c r="N687" s="30"/>
      <c r="O687" s="154"/>
      <c r="P687" s="154"/>
      <c r="Q687" s="50"/>
      <c r="R687" s="50"/>
      <c r="S687" s="50"/>
      <c r="T687" s="50"/>
      <c r="U687" s="50"/>
      <c r="V687" s="50"/>
      <c r="W687" s="50"/>
      <c r="X687" s="51"/>
      <c r="Y687" s="50"/>
      <c r="Z687" s="30"/>
      <c r="AA687" s="104"/>
      <c r="AB687" s="10"/>
      <c r="AC687" s="60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8"/>
      <c r="BC687" s="147"/>
      <c r="BD687" s="54"/>
      <c r="BE687" s="32"/>
    </row>
    <row r="688" spans="1:57" x14ac:dyDescent="0.3">
      <c r="A688" s="241" t="str">
        <f t="shared" si="12"/>
        <v/>
      </c>
      <c r="B688" s="323"/>
      <c r="C688" s="324"/>
      <c r="D688" s="325"/>
      <c r="E688" s="349"/>
      <c r="F688" s="347"/>
      <c r="G688" s="30"/>
      <c r="H688" s="30"/>
      <c r="I688" s="30"/>
      <c r="J688" s="30"/>
      <c r="K688" s="30"/>
      <c r="L688" s="30"/>
      <c r="M688" s="30"/>
      <c r="N688" s="30"/>
      <c r="O688" s="154"/>
      <c r="P688" s="154"/>
      <c r="Q688" s="50"/>
      <c r="R688" s="50"/>
      <c r="S688" s="50"/>
      <c r="T688" s="50"/>
      <c r="U688" s="50"/>
      <c r="V688" s="50"/>
      <c r="W688" s="50"/>
      <c r="X688" s="51"/>
      <c r="Y688" s="50"/>
      <c r="Z688" s="30"/>
      <c r="AA688" s="104"/>
      <c r="AB688" s="10"/>
      <c r="AC688" s="60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8"/>
      <c r="BC688" s="147"/>
      <c r="BD688" s="54"/>
      <c r="BE688" s="32"/>
    </row>
    <row r="689" spans="1:57" x14ac:dyDescent="0.3">
      <c r="A689" s="241" t="str">
        <f t="shared" si="12"/>
        <v/>
      </c>
      <c r="B689" s="323"/>
      <c r="C689" s="324"/>
      <c r="D689" s="325"/>
      <c r="E689" s="349"/>
      <c r="F689" s="347"/>
      <c r="G689" s="30"/>
      <c r="H689" s="30"/>
      <c r="I689" s="30"/>
      <c r="J689" s="30"/>
      <c r="K689" s="30"/>
      <c r="L689" s="30"/>
      <c r="M689" s="30"/>
      <c r="N689" s="30"/>
      <c r="O689" s="154"/>
      <c r="P689" s="154"/>
      <c r="Q689" s="50"/>
      <c r="R689" s="50"/>
      <c r="S689" s="50"/>
      <c r="T689" s="50"/>
      <c r="U689" s="50"/>
      <c r="V689" s="50"/>
      <c r="W689" s="50"/>
      <c r="X689" s="51"/>
      <c r="Y689" s="50"/>
      <c r="Z689" s="30"/>
      <c r="AA689" s="104"/>
      <c r="AB689" s="10"/>
      <c r="AC689" s="60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8"/>
      <c r="BC689" s="147"/>
      <c r="BD689" s="54"/>
      <c r="BE689" s="32"/>
    </row>
    <row r="690" spans="1:57" x14ac:dyDescent="0.3">
      <c r="A690" s="241" t="str">
        <f t="shared" si="12"/>
        <v/>
      </c>
      <c r="B690" s="323"/>
      <c r="C690" s="324"/>
      <c r="D690" s="325"/>
      <c r="E690" s="349"/>
      <c r="F690" s="347"/>
      <c r="G690" s="30"/>
      <c r="H690" s="30"/>
      <c r="I690" s="30"/>
      <c r="J690" s="30"/>
      <c r="K690" s="30"/>
      <c r="L690" s="30"/>
      <c r="M690" s="30"/>
      <c r="N690" s="30"/>
      <c r="O690" s="154"/>
      <c r="P690" s="154"/>
      <c r="Q690" s="50"/>
      <c r="R690" s="50"/>
      <c r="S690" s="50"/>
      <c r="T690" s="50"/>
      <c r="U690" s="50"/>
      <c r="V690" s="50"/>
      <c r="W690" s="50"/>
      <c r="X690" s="51"/>
      <c r="Y690" s="50"/>
      <c r="Z690" s="30"/>
      <c r="AA690" s="104"/>
      <c r="AB690" s="10"/>
      <c r="AC690" s="60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8"/>
      <c r="BC690" s="147"/>
      <c r="BD690" s="54"/>
      <c r="BE690" s="32"/>
    </row>
    <row r="691" spans="1:57" x14ac:dyDescent="0.3">
      <c r="A691" s="241" t="str">
        <f t="shared" si="12"/>
        <v/>
      </c>
      <c r="B691" s="323"/>
      <c r="C691" s="324"/>
      <c r="D691" s="325"/>
      <c r="E691" s="349"/>
      <c r="F691" s="347"/>
      <c r="G691" s="30"/>
      <c r="H691" s="30"/>
      <c r="I691" s="30"/>
      <c r="J691" s="30"/>
      <c r="K691" s="30"/>
      <c r="L691" s="30"/>
      <c r="M691" s="30"/>
      <c r="N691" s="30"/>
      <c r="O691" s="154"/>
      <c r="P691" s="154"/>
      <c r="Q691" s="50"/>
      <c r="R691" s="50"/>
      <c r="S691" s="50"/>
      <c r="T691" s="50"/>
      <c r="U691" s="50"/>
      <c r="V691" s="50"/>
      <c r="W691" s="50"/>
      <c r="X691" s="51"/>
      <c r="Y691" s="50"/>
      <c r="Z691" s="30"/>
      <c r="AA691" s="104"/>
      <c r="AB691" s="10"/>
      <c r="AC691" s="60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8"/>
      <c r="BC691" s="147"/>
      <c r="BD691" s="54"/>
      <c r="BE691" s="32"/>
    </row>
    <row r="692" spans="1:57" x14ac:dyDescent="0.3">
      <c r="A692" s="241" t="str">
        <f t="shared" si="12"/>
        <v/>
      </c>
      <c r="B692" s="323"/>
      <c r="C692" s="324"/>
      <c r="D692" s="325"/>
      <c r="E692" s="349"/>
      <c r="F692" s="347"/>
      <c r="G692" s="30"/>
      <c r="H692" s="30"/>
      <c r="I692" s="30"/>
      <c r="J692" s="30"/>
      <c r="K692" s="30"/>
      <c r="L692" s="30"/>
      <c r="M692" s="30"/>
      <c r="N692" s="30"/>
      <c r="O692" s="154"/>
      <c r="P692" s="154"/>
      <c r="Q692" s="50"/>
      <c r="R692" s="50"/>
      <c r="S692" s="50"/>
      <c r="T692" s="50"/>
      <c r="U692" s="50"/>
      <c r="V692" s="50"/>
      <c r="W692" s="50"/>
      <c r="X692" s="51"/>
      <c r="Y692" s="50"/>
      <c r="Z692" s="30"/>
      <c r="AA692" s="104"/>
      <c r="AB692" s="10"/>
      <c r="AC692" s="60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8"/>
      <c r="BC692" s="147"/>
      <c r="BD692" s="54"/>
      <c r="BE692" s="32"/>
    </row>
    <row r="693" spans="1:57" x14ac:dyDescent="0.3">
      <c r="A693" s="241" t="str">
        <f t="shared" si="12"/>
        <v/>
      </c>
      <c r="B693" s="323"/>
      <c r="C693" s="324"/>
      <c r="D693" s="325"/>
      <c r="E693" s="349"/>
      <c r="F693" s="347"/>
      <c r="G693" s="30"/>
      <c r="H693" s="30"/>
      <c r="I693" s="30"/>
      <c r="J693" s="30"/>
      <c r="K693" s="30"/>
      <c r="L693" s="30"/>
      <c r="M693" s="30"/>
      <c r="N693" s="30"/>
      <c r="O693" s="154"/>
      <c r="P693" s="154"/>
      <c r="Q693" s="50"/>
      <c r="R693" s="50"/>
      <c r="S693" s="50"/>
      <c r="T693" s="50"/>
      <c r="U693" s="50"/>
      <c r="V693" s="50"/>
      <c r="W693" s="50"/>
      <c r="X693" s="51"/>
      <c r="Y693" s="50"/>
      <c r="Z693" s="30"/>
      <c r="AA693" s="104"/>
      <c r="AB693" s="10"/>
      <c r="AC693" s="60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8"/>
      <c r="BC693" s="147"/>
      <c r="BD693" s="54"/>
      <c r="BE693" s="32"/>
    </row>
    <row r="694" spans="1:57" x14ac:dyDescent="0.3">
      <c r="A694" s="241" t="str">
        <f t="shared" si="12"/>
        <v/>
      </c>
      <c r="B694" s="323"/>
      <c r="C694" s="324"/>
      <c r="D694" s="325"/>
      <c r="E694" s="349"/>
      <c r="F694" s="347"/>
      <c r="G694" s="30"/>
      <c r="H694" s="30"/>
      <c r="I694" s="30"/>
      <c r="J694" s="30"/>
      <c r="K694" s="30"/>
      <c r="L694" s="30"/>
      <c r="M694" s="30"/>
      <c r="N694" s="30"/>
      <c r="O694" s="154"/>
      <c r="P694" s="154"/>
      <c r="Q694" s="50"/>
      <c r="R694" s="50"/>
      <c r="S694" s="50"/>
      <c r="T694" s="50"/>
      <c r="U694" s="50"/>
      <c r="V694" s="50"/>
      <c r="W694" s="50"/>
      <c r="X694" s="51"/>
      <c r="Y694" s="50"/>
      <c r="Z694" s="30"/>
      <c r="AA694" s="104"/>
      <c r="AB694" s="10"/>
      <c r="AC694" s="60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8"/>
      <c r="BC694" s="147"/>
      <c r="BD694" s="54"/>
      <c r="BE694" s="32"/>
    </row>
    <row r="695" spans="1:57" x14ac:dyDescent="0.3">
      <c r="A695" s="241" t="str">
        <f t="shared" si="12"/>
        <v/>
      </c>
      <c r="B695" s="323"/>
      <c r="C695" s="324"/>
      <c r="D695" s="325"/>
      <c r="E695" s="349"/>
      <c r="F695" s="347"/>
      <c r="G695" s="30"/>
      <c r="H695" s="30"/>
      <c r="I695" s="30"/>
      <c r="J695" s="30"/>
      <c r="K695" s="30"/>
      <c r="L695" s="30"/>
      <c r="M695" s="30"/>
      <c r="N695" s="30"/>
      <c r="O695" s="154"/>
      <c r="P695" s="154"/>
      <c r="Q695" s="50"/>
      <c r="R695" s="50"/>
      <c r="S695" s="50"/>
      <c r="T695" s="50"/>
      <c r="U695" s="50"/>
      <c r="V695" s="50"/>
      <c r="W695" s="50"/>
      <c r="X695" s="51"/>
      <c r="Y695" s="50"/>
      <c r="Z695" s="30"/>
      <c r="AA695" s="104"/>
      <c r="AB695" s="10"/>
      <c r="AC695" s="60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8"/>
      <c r="BC695" s="147"/>
      <c r="BD695" s="54"/>
      <c r="BE695" s="32"/>
    </row>
    <row r="696" spans="1:57" x14ac:dyDescent="0.3">
      <c r="A696" s="241" t="str">
        <f t="shared" si="12"/>
        <v/>
      </c>
      <c r="B696" s="323"/>
      <c r="C696" s="324"/>
      <c r="D696" s="325"/>
      <c r="E696" s="349"/>
      <c r="F696" s="347"/>
      <c r="G696" s="30"/>
      <c r="H696" s="30"/>
      <c r="I696" s="30"/>
      <c r="J696" s="30"/>
      <c r="K696" s="30"/>
      <c r="L696" s="30"/>
      <c r="M696" s="30"/>
      <c r="N696" s="30"/>
      <c r="O696" s="154"/>
      <c r="P696" s="154"/>
      <c r="Q696" s="50"/>
      <c r="R696" s="50"/>
      <c r="S696" s="50"/>
      <c r="T696" s="50"/>
      <c r="U696" s="50"/>
      <c r="V696" s="50"/>
      <c r="W696" s="50"/>
      <c r="X696" s="51"/>
      <c r="Y696" s="50"/>
      <c r="Z696" s="30"/>
      <c r="AA696" s="104"/>
      <c r="AB696" s="10"/>
      <c r="AC696" s="60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8"/>
      <c r="BC696" s="147"/>
      <c r="BD696" s="54"/>
      <c r="BE696" s="32"/>
    </row>
    <row r="697" spans="1:57" x14ac:dyDescent="0.3">
      <c r="A697" s="241" t="str">
        <f t="shared" si="12"/>
        <v/>
      </c>
      <c r="B697" s="323"/>
      <c r="C697" s="324"/>
      <c r="D697" s="325"/>
      <c r="E697" s="349"/>
      <c r="F697" s="347"/>
      <c r="G697" s="30"/>
      <c r="H697" s="30"/>
      <c r="I697" s="30"/>
      <c r="J697" s="30"/>
      <c r="K697" s="30"/>
      <c r="L697" s="30"/>
      <c r="M697" s="30"/>
      <c r="N697" s="30"/>
      <c r="O697" s="154"/>
      <c r="P697" s="154"/>
      <c r="Q697" s="50"/>
      <c r="R697" s="50"/>
      <c r="S697" s="50"/>
      <c r="T697" s="50"/>
      <c r="U697" s="50"/>
      <c r="V697" s="50"/>
      <c r="W697" s="50"/>
      <c r="X697" s="51"/>
      <c r="Y697" s="50"/>
      <c r="Z697" s="30"/>
      <c r="AA697" s="104"/>
      <c r="AB697" s="10"/>
      <c r="AC697" s="60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8"/>
      <c r="BC697" s="147"/>
      <c r="BD697" s="54"/>
      <c r="BE697" s="32"/>
    </row>
    <row r="698" spans="1:57" x14ac:dyDescent="0.3">
      <c r="A698" s="241" t="str">
        <f t="shared" si="12"/>
        <v/>
      </c>
      <c r="B698" s="323"/>
      <c r="C698" s="324"/>
      <c r="D698" s="325"/>
      <c r="E698" s="349"/>
      <c r="F698" s="347"/>
      <c r="G698" s="30"/>
      <c r="H698" s="30"/>
      <c r="I698" s="30"/>
      <c r="J698" s="30"/>
      <c r="K698" s="30"/>
      <c r="L698" s="30"/>
      <c r="M698" s="30"/>
      <c r="N698" s="30"/>
      <c r="O698" s="154"/>
      <c r="P698" s="154"/>
      <c r="Q698" s="50"/>
      <c r="R698" s="50"/>
      <c r="S698" s="50"/>
      <c r="T698" s="50"/>
      <c r="U698" s="50"/>
      <c r="V698" s="50"/>
      <c r="W698" s="50"/>
      <c r="X698" s="51"/>
      <c r="Y698" s="50"/>
      <c r="Z698" s="30"/>
      <c r="AA698" s="104"/>
      <c r="AB698" s="10"/>
      <c r="AC698" s="60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8"/>
      <c r="BC698" s="147"/>
      <c r="BD698" s="54"/>
      <c r="BE698" s="32"/>
    </row>
    <row r="699" spans="1:57" x14ac:dyDescent="0.3">
      <c r="A699" s="241" t="str">
        <f t="shared" si="12"/>
        <v/>
      </c>
      <c r="B699" s="323"/>
      <c r="C699" s="324"/>
      <c r="D699" s="325"/>
      <c r="E699" s="349"/>
      <c r="F699" s="347"/>
      <c r="G699" s="30"/>
      <c r="H699" s="30"/>
      <c r="I699" s="30"/>
      <c r="J699" s="30"/>
      <c r="K699" s="30"/>
      <c r="L699" s="30"/>
      <c r="M699" s="30"/>
      <c r="N699" s="30"/>
      <c r="O699" s="154"/>
      <c r="P699" s="154"/>
      <c r="Q699" s="50"/>
      <c r="R699" s="50"/>
      <c r="S699" s="50"/>
      <c r="T699" s="50"/>
      <c r="U699" s="50"/>
      <c r="V699" s="50"/>
      <c r="W699" s="50"/>
      <c r="X699" s="51"/>
      <c r="Y699" s="50"/>
      <c r="Z699" s="30"/>
      <c r="AA699" s="104"/>
      <c r="AB699" s="10"/>
      <c r="AC699" s="60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8"/>
      <c r="BC699" s="147"/>
      <c r="BD699" s="54"/>
      <c r="BE699" s="32"/>
    </row>
    <row r="700" spans="1:57" x14ac:dyDescent="0.3">
      <c r="A700" s="241" t="str">
        <f t="shared" si="12"/>
        <v/>
      </c>
      <c r="B700" s="323"/>
      <c r="C700" s="324"/>
      <c r="D700" s="325"/>
      <c r="E700" s="349"/>
      <c r="F700" s="347"/>
      <c r="G700" s="30"/>
      <c r="H700" s="30"/>
      <c r="I700" s="30"/>
      <c r="J700" s="30"/>
      <c r="K700" s="30"/>
      <c r="L700" s="30"/>
      <c r="M700" s="30"/>
      <c r="N700" s="30"/>
      <c r="O700" s="154"/>
      <c r="P700" s="154"/>
      <c r="Q700" s="50"/>
      <c r="R700" s="50"/>
      <c r="S700" s="50"/>
      <c r="T700" s="50"/>
      <c r="U700" s="50"/>
      <c r="V700" s="50"/>
      <c r="W700" s="50"/>
      <c r="X700" s="51"/>
      <c r="Y700" s="50"/>
      <c r="Z700" s="30"/>
      <c r="AA700" s="104"/>
      <c r="AB700" s="10"/>
      <c r="AC700" s="60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8"/>
      <c r="BC700" s="147"/>
      <c r="BD700" s="54"/>
      <c r="BE700" s="32"/>
    </row>
    <row r="701" spans="1:57" x14ac:dyDescent="0.3">
      <c r="A701" s="241" t="str">
        <f t="shared" si="12"/>
        <v/>
      </c>
      <c r="B701" s="323"/>
      <c r="C701" s="324"/>
      <c r="D701" s="325"/>
      <c r="E701" s="349"/>
      <c r="F701" s="347"/>
      <c r="G701" s="30"/>
      <c r="H701" s="30"/>
      <c r="I701" s="30"/>
      <c r="J701" s="30"/>
      <c r="K701" s="30"/>
      <c r="L701" s="30"/>
      <c r="M701" s="30"/>
      <c r="N701" s="30"/>
      <c r="O701" s="154"/>
      <c r="P701" s="154"/>
      <c r="Q701" s="50"/>
      <c r="R701" s="50"/>
      <c r="S701" s="50"/>
      <c r="T701" s="50"/>
      <c r="U701" s="50"/>
      <c r="V701" s="50"/>
      <c r="W701" s="50"/>
      <c r="X701" s="51"/>
      <c r="Y701" s="50"/>
      <c r="Z701" s="30"/>
      <c r="AA701" s="104"/>
      <c r="AB701" s="10"/>
      <c r="AC701" s="60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8"/>
      <c r="BC701" s="147"/>
      <c r="BD701" s="54"/>
      <c r="BE701" s="32"/>
    </row>
    <row r="702" spans="1:57" x14ac:dyDescent="0.3">
      <c r="A702" s="241" t="str">
        <f t="shared" si="12"/>
        <v/>
      </c>
      <c r="B702" s="323"/>
      <c r="C702" s="324"/>
      <c r="D702" s="325"/>
      <c r="E702" s="349"/>
      <c r="F702" s="347"/>
      <c r="G702" s="30"/>
      <c r="H702" s="30"/>
      <c r="I702" s="30"/>
      <c r="J702" s="30"/>
      <c r="K702" s="30"/>
      <c r="L702" s="30"/>
      <c r="M702" s="30"/>
      <c r="N702" s="30"/>
      <c r="O702" s="154"/>
      <c r="P702" s="154"/>
      <c r="Q702" s="50"/>
      <c r="R702" s="50"/>
      <c r="S702" s="50"/>
      <c r="T702" s="50"/>
      <c r="U702" s="50"/>
      <c r="V702" s="50"/>
      <c r="W702" s="50"/>
      <c r="X702" s="51"/>
      <c r="Y702" s="50"/>
      <c r="Z702" s="30"/>
      <c r="AA702" s="104"/>
      <c r="AB702" s="10"/>
      <c r="AC702" s="60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8"/>
      <c r="BC702" s="147"/>
      <c r="BD702" s="54"/>
      <c r="BE702" s="32"/>
    </row>
    <row r="703" spans="1:57" x14ac:dyDescent="0.3">
      <c r="A703" s="241" t="str">
        <f t="shared" si="12"/>
        <v/>
      </c>
      <c r="B703" s="323"/>
      <c r="C703" s="324"/>
      <c r="D703" s="325"/>
      <c r="E703" s="349"/>
      <c r="F703" s="347"/>
      <c r="G703" s="30"/>
      <c r="H703" s="30"/>
      <c r="I703" s="30"/>
      <c r="J703" s="30"/>
      <c r="K703" s="30"/>
      <c r="L703" s="30"/>
      <c r="M703" s="30"/>
      <c r="N703" s="30"/>
      <c r="O703" s="154"/>
      <c r="P703" s="154"/>
      <c r="Q703" s="50"/>
      <c r="R703" s="50"/>
      <c r="S703" s="50"/>
      <c r="T703" s="50"/>
      <c r="U703" s="50"/>
      <c r="V703" s="50"/>
      <c r="W703" s="50"/>
      <c r="X703" s="51"/>
      <c r="Y703" s="50"/>
      <c r="Z703" s="30"/>
      <c r="AA703" s="104"/>
      <c r="AB703" s="10"/>
      <c r="AC703" s="60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8"/>
      <c r="BC703" s="147"/>
      <c r="BD703" s="54"/>
      <c r="BE703" s="32"/>
    </row>
    <row r="704" spans="1:57" x14ac:dyDescent="0.3">
      <c r="A704" s="241" t="str">
        <f t="shared" si="12"/>
        <v/>
      </c>
      <c r="B704" s="323"/>
      <c r="C704" s="324"/>
      <c r="D704" s="325"/>
      <c r="E704" s="349"/>
      <c r="F704" s="347"/>
      <c r="G704" s="30"/>
      <c r="H704" s="30"/>
      <c r="I704" s="30"/>
      <c r="J704" s="30"/>
      <c r="K704" s="30"/>
      <c r="L704" s="30"/>
      <c r="M704" s="30"/>
      <c r="N704" s="30"/>
      <c r="O704" s="154"/>
      <c r="P704" s="154"/>
      <c r="Q704" s="50"/>
      <c r="R704" s="50"/>
      <c r="S704" s="50"/>
      <c r="T704" s="50"/>
      <c r="U704" s="50"/>
      <c r="V704" s="50"/>
      <c r="W704" s="50"/>
      <c r="X704" s="51"/>
      <c r="Y704" s="50"/>
      <c r="Z704" s="30"/>
      <c r="AA704" s="104"/>
      <c r="AB704" s="10"/>
      <c r="AC704" s="60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8"/>
      <c r="BC704" s="147"/>
      <c r="BD704" s="54"/>
      <c r="BE704" s="32"/>
    </row>
    <row r="705" spans="1:57" x14ac:dyDescent="0.3">
      <c r="A705" s="241" t="str">
        <f t="shared" si="12"/>
        <v/>
      </c>
      <c r="B705" s="323"/>
      <c r="C705" s="324"/>
      <c r="D705" s="325"/>
      <c r="E705" s="349"/>
      <c r="F705" s="347"/>
      <c r="G705" s="30"/>
      <c r="H705" s="30"/>
      <c r="I705" s="30"/>
      <c r="J705" s="30"/>
      <c r="K705" s="30"/>
      <c r="L705" s="30"/>
      <c r="M705" s="30"/>
      <c r="N705" s="30"/>
      <c r="O705" s="154"/>
      <c r="P705" s="154"/>
      <c r="Q705" s="50"/>
      <c r="R705" s="50"/>
      <c r="S705" s="50"/>
      <c r="T705" s="50"/>
      <c r="U705" s="50"/>
      <c r="V705" s="50"/>
      <c r="W705" s="50"/>
      <c r="X705" s="51"/>
      <c r="Y705" s="50"/>
      <c r="Z705" s="30"/>
      <c r="AA705" s="104"/>
      <c r="AB705" s="10"/>
      <c r="AC705" s="60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8"/>
      <c r="BC705" s="147"/>
      <c r="BD705" s="54"/>
      <c r="BE705" s="32"/>
    </row>
    <row r="706" spans="1:57" x14ac:dyDescent="0.3">
      <c r="A706" s="241" t="str">
        <f t="shared" si="12"/>
        <v/>
      </c>
      <c r="B706" s="323"/>
      <c r="C706" s="324"/>
      <c r="D706" s="325"/>
      <c r="E706" s="349"/>
      <c r="F706" s="347"/>
      <c r="G706" s="30"/>
      <c r="H706" s="30"/>
      <c r="I706" s="30"/>
      <c r="J706" s="30"/>
      <c r="K706" s="30"/>
      <c r="L706" s="30"/>
      <c r="M706" s="30"/>
      <c r="N706" s="30"/>
      <c r="O706" s="154"/>
      <c r="P706" s="154"/>
      <c r="Q706" s="50"/>
      <c r="R706" s="50"/>
      <c r="S706" s="50"/>
      <c r="T706" s="50"/>
      <c r="U706" s="50"/>
      <c r="V706" s="50"/>
      <c r="W706" s="50"/>
      <c r="X706" s="51"/>
      <c r="Y706" s="50"/>
      <c r="Z706" s="30"/>
      <c r="AA706" s="104"/>
      <c r="AB706" s="10"/>
      <c r="AC706" s="60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8"/>
      <c r="BC706" s="147"/>
      <c r="BD706" s="54"/>
      <c r="BE706" s="32"/>
    </row>
    <row r="707" spans="1:57" x14ac:dyDescent="0.3">
      <c r="A707" s="241" t="str">
        <f t="shared" si="12"/>
        <v/>
      </c>
      <c r="B707" s="323"/>
      <c r="C707" s="324"/>
      <c r="D707" s="325"/>
      <c r="E707" s="349"/>
      <c r="F707" s="347"/>
      <c r="G707" s="30"/>
      <c r="H707" s="30"/>
      <c r="I707" s="30"/>
      <c r="J707" s="30"/>
      <c r="K707" s="30"/>
      <c r="L707" s="30"/>
      <c r="M707" s="30"/>
      <c r="N707" s="30"/>
      <c r="O707" s="154"/>
      <c r="P707" s="154"/>
      <c r="Q707" s="50"/>
      <c r="R707" s="50"/>
      <c r="S707" s="50"/>
      <c r="T707" s="50"/>
      <c r="U707" s="50"/>
      <c r="V707" s="50"/>
      <c r="W707" s="50"/>
      <c r="X707" s="51"/>
      <c r="Y707" s="50"/>
      <c r="Z707" s="30"/>
      <c r="AA707" s="104"/>
      <c r="AB707" s="10"/>
      <c r="AC707" s="60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8"/>
      <c r="BC707" s="147"/>
      <c r="BD707" s="54"/>
      <c r="BE707" s="32"/>
    </row>
    <row r="708" spans="1:57" x14ac:dyDescent="0.3">
      <c r="A708" s="241" t="str">
        <f t="shared" si="12"/>
        <v/>
      </c>
      <c r="B708" s="323"/>
      <c r="C708" s="324"/>
      <c r="D708" s="325"/>
      <c r="E708" s="349"/>
      <c r="F708" s="347"/>
      <c r="G708" s="30"/>
      <c r="H708" s="30"/>
      <c r="I708" s="30"/>
      <c r="J708" s="30"/>
      <c r="K708" s="30"/>
      <c r="L708" s="30"/>
      <c r="M708" s="30"/>
      <c r="N708" s="30"/>
      <c r="O708" s="154"/>
      <c r="P708" s="154"/>
      <c r="Q708" s="50"/>
      <c r="R708" s="50"/>
      <c r="S708" s="50"/>
      <c r="T708" s="50"/>
      <c r="U708" s="50"/>
      <c r="V708" s="50"/>
      <c r="W708" s="50"/>
      <c r="X708" s="51"/>
      <c r="Y708" s="50"/>
      <c r="Z708" s="30"/>
      <c r="AA708" s="104"/>
      <c r="AB708" s="10"/>
      <c r="AC708" s="60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8"/>
      <c r="BC708" s="147"/>
      <c r="BD708" s="54"/>
      <c r="BE708" s="32"/>
    </row>
    <row r="709" spans="1:57" x14ac:dyDescent="0.3">
      <c r="A709" s="241" t="str">
        <f t="shared" si="12"/>
        <v/>
      </c>
      <c r="B709" s="323"/>
      <c r="C709" s="324"/>
      <c r="D709" s="325"/>
      <c r="E709" s="349"/>
      <c r="F709" s="347"/>
      <c r="G709" s="30"/>
      <c r="H709" s="30"/>
      <c r="I709" s="30"/>
      <c r="J709" s="30"/>
      <c r="K709" s="30"/>
      <c r="L709" s="30"/>
      <c r="M709" s="30"/>
      <c r="N709" s="30"/>
      <c r="O709" s="154"/>
      <c r="P709" s="154"/>
      <c r="Q709" s="50"/>
      <c r="R709" s="50"/>
      <c r="S709" s="50"/>
      <c r="T709" s="50"/>
      <c r="U709" s="50"/>
      <c r="V709" s="50"/>
      <c r="W709" s="50"/>
      <c r="X709" s="51"/>
      <c r="Y709" s="50"/>
      <c r="Z709" s="30"/>
      <c r="AA709" s="104"/>
      <c r="AB709" s="10"/>
      <c r="AC709" s="60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8"/>
      <c r="BC709" s="147"/>
      <c r="BD709" s="54"/>
      <c r="BE709" s="32"/>
    </row>
    <row r="710" spans="1:57" x14ac:dyDescent="0.3">
      <c r="A710" s="241" t="str">
        <f t="shared" si="12"/>
        <v/>
      </c>
      <c r="B710" s="323"/>
      <c r="C710" s="324"/>
      <c r="D710" s="325"/>
      <c r="E710" s="349"/>
      <c r="F710" s="347"/>
      <c r="G710" s="30"/>
      <c r="H710" s="30"/>
      <c r="I710" s="30"/>
      <c r="J710" s="30"/>
      <c r="K710" s="30"/>
      <c r="L710" s="30"/>
      <c r="M710" s="30"/>
      <c r="N710" s="30"/>
      <c r="O710" s="154"/>
      <c r="P710" s="154"/>
      <c r="Q710" s="50"/>
      <c r="R710" s="50"/>
      <c r="S710" s="50"/>
      <c r="T710" s="50"/>
      <c r="U710" s="50"/>
      <c r="V710" s="50"/>
      <c r="W710" s="50"/>
      <c r="X710" s="51"/>
      <c r="Y710" s="50"/>
      <c r="Z710" s="30"/>
      <c r="AA710" s="104"/>
      <c r="AB710" s="10"/>
      <c r="AC710" s="60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8"/>
      <c r="BC710" s="147"/>
      <c r="BD710" s="54"/>
      <c r="BE710" s="32"/>
    </row>
    <row r="711" spans="1:57" x14ac:dyDescent="0.3">
      <c r="A711" s="241" t="str">
        <f t="shared" si="12"/>
        <v/>
      </c>
      <c r="B711" s="323"/>
      <c r="C711" s="324"/>
      <c r="D711" s="325"/>
      <c r="E711" s="349"/>
      <c r="F711" s="347"/>
      <c r="G711" s="30"/>
      <c r="H711" s="30"/>
      <c r="I711" s="30"/>
      <c r="J711" s="30"/>
      <c r="K711" s="30"/>
      <c r="L711" s="30"/>
      <c r="M711" s="30"/>
      <c r="N711" s="30"/>
      <c r="O711" s="154"/>
      <c r="P711" s="154"/>
      <c r="Q711" s="50"/>
      <c r="R711" s="50"/>
      <c r="S711" s="50"/>
      <c r="T711" s="50"/>
      <c r="U711" s="50"/>
      <c r="V711" s="50"/>
      <c r="W711" s="50"/>
      <c r="X711" s="51"/>
      <c r="Y711" s="50"/>
      <c r="Z711" s="30"/>
      <c r="AA711" s="104"/>
      <c r="AB711" s="10"/>
      <c r="AC711" s="60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8"/>
      <c r="BC711" s="147"/>
      <c r="BD711" s="54"/>
      <c r="BE711" s="32"/>
    </row>
    <row r="712" spans="1:57" x14ac:dyDescent="0.3">
      <c r="A712" s="241" t="str">
        <f t="shared" si="12"/>
        <v/>
      </c>
      <c r="B712" s="323"/>
      <c r="C712" s="324"/>
      <c r="D712" s="325"/>
      <c r="E712" s="349"/>
      <c r="F712" s="347"/>
      <c r="G712" s="30"/>
      <c r="H712" s="30"/>
      <c r="I712" s="30"/>
      <c r="J712" s="30"/>
      <c r="K712" s="30"/>
      <c r="L712" s="30"/>
      <c r="M712" s="30"/>
      <c r="N712" s="30"/>
      <c r="O712" s="154"/>
      <c r="P712" s="154"/>
      <c r="Q712" s="50"/>
      <c r="R712" s="50"/>
      <c r="S712" s="50"/>
      <c r="T712" s="50"/>
      <c r="U712" s="50"/>
      <c r="V712" s="50"/>
      <c r="W712" s="50"/>
      <c r="X712" s="51"/>
      <c r="Y712" s="50"/>
      <c r="Z712" s="30"/>
      <c r="AA712" s="104"/>
      <c r="AB712" s="10"/>
      <c r="AC712" s="60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8"/>
      <c r="BC712" s="147"/>
      <c r="BD712" s="54"/>
      <c r="BE712" s="32"/>
    </row>
    <row r="713" spans="1:57" x14ac:dyDescent="0.3">
      <c r="A713" s="241" t="str">
        <f t="shared" si="12"/>
        <v/>
      </c>
      <c r="B713" s="323"/>
      <c r="C713" s="324"/>
      <c r="D713" s="325"/>
      <c r="E713" s="349"/>
      <c r="F713" s="347"/>
      <c r="G713" s="30"/>
      <c r="H713" s="30"/>
      <c r="I713" s="30"/>
      <c r="J713" s="30"/>
      <c r="K713" s="30"/>
      <c r="L713" s="30"/>
      <c r="M713" s="30"/>
      <c r="N713" s="30"/>
      <c r="O713" s="154"/>
      <c r="P713" s="154"/>
      <c r="Q713" s="50"/>
      <c r="R713" s="50"/>
      <c r="S713" s="50"/>
      <c r="T713" s="50"/>
      <c r="U713" s="50"/>
      <c r="V713" s="50"/>
      <c r="W713" s="50"/>
      <c r="X713" s="51"/>
      <c r="Y713" s="50"/>
      <c r="Z713" s="30"/>
      <c r="AA713" s="104"/>
      <c r="AB713" s="10"/>
      <c r="AC713" s="60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8"/>
      <c r="BC713" s="147"/>
      <c r="BD713" s="54"/>
      <c r="BE713" s="32"/>
    </row>
    <row r="714" spans="1:57" x14ac:dyDescent="0.3">
      <c r="A714" s="241" t="str">
        <f t="shared" si="12"/>
        <v/>
      </c>
      <c r="B714" s="323"/>
      <c r="C714" s="324"/>
      <c r="D714" s="325"/>
      <c r="E714" s="349"/>
      <c r="F714" s="347"/>
      <c r="G714" s="30"/>
      <c r="H714" s="30"/>
      <c r="I714" s="30"/>
      <c r="J714" s="30"/>
      <c r="K714" s="30"/>
      <c r="L714" s="30"/>
      <c r="M714" s="30"/>
      <c r="N714" s="30"/>
      <c r="O714" s="154"/>
      <c r="P714" s="154"/>
      <c r="Q714" s="50"/>
      <c r="R714" s="50"/>
      <c r="S714" s="50"/>
      <c r="T714" s="50"/>
      <c r="U714" s="50"/>
      <c r="V714" s="50"/>
      <c r="W714" s="50"/>
      <c r="X714" s="51"/>
      <c r="Y714" s="50"/>
      <c r="Z714" s="30"/>
      <c r="AA714" s="104"/>
      <c r="AB714" s="10"/>
      <c r="AC714" s="60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8"/>
      <c r="BC714" s="147"/>
      <c r="BD714" s="54"/>
      <c r="BE714" s="32"/>
    </row>
    <row r="715" spans="1:57" x14ac:dyDescent="0.3">
      <c r="A715" s="241" t="str">
        <f t="shared" si="12"/>
        <v/>
      </c>
      <c r="B715" s="323"/>
      <c r="C715" s="324"/>
      <c r="D715" s="325"/>
      <c r="E715" s="349"/>
      <c r="F715" s="347"/>
      <c r="G715" s="30"/>
      <c r="H715" s="30"/>
      <c r="I715" s="30"/>
      <c r="J715" s="30"/>
      <c r="K715" s="30"/>
      <c r="L715" s="30"/>
      <c r="M715" s="30"/>
      <c r="N715" s="30"/>
      <c r="O715" s="154"/>
      <c r="P715" s="154"/>
      <c r="Q715" s="50"/>
      <c r="R715" s="50"/>
      <c r="S715" s="50"/>
      <c r="T715" s="50"/>
      <c r="U715" s="50"/>
      <c r="V715" s="50"/>
      <c r="W715" s="50"/>
      <c r="X715" s="51"/>
      <c r="Y715" s="50"/>
      <c r="Z715" s="30"/>
      <c r="AA715" s="104"/>
      <c r="AB715" s="10"/>
      <c r="AC715" s="60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8"/>
      <c r="BC715" s="147"/>
      <c r="BD715" s="54"/>
      <c r="BE715" s="32"/>
    </row>
    <row r="716" spans="1:57" x14ac:dyDescent="0.3">
      <c r="A716" s="241" t="str">
        <f t="shared" si="12"/>
        <v/>
      </c>
      <c r="B716" s="323"/>
      <c r="C716" s="324"/>
      <c r="D716" s="325"/>
      <c r="E716" s="349"/>
      <c r="F716" s="347"/>
      <c r="G716" s="30"/>
      <c r="H716" s="30"/>
      <c r="I716" s="30"/>
      <c r="J716" s="30"/>
      <c r="K716" s="30"/>
      <c r="L716" s="30"/>
      <c r="M716" s="30"/>
      <c r="N716" s="30"/>
      <c r="O716" s="154"/>
      <c r="P716" s="154"/>
      <c r="Q716" s="50"/>
      <c r="R716" s="50"/>
      <c r="S716" s="50"/>
      <c r="T716" s="50"/>
      <c r="U716" s="50"/>
      <c r="V716" s="50"/>
      <c r="W716" s="50"/>
      <c r="X716" s="51"/>
      <c r="Y716" s="50"/>
      <c r="Z716" s="30"/>
      <c r="AA716" s="104"/>
      <c r="AB716" s="10"/>
      <c r="AC716" s="60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8"/>
      <c r="BC716" s="147"/>
      <c r="BD716" s="54"/>
      <c r="BE716" s="32"/>
    </row>
    <row r="717" spans="1:57" x14ac:dyDescent="0.3">
      <c r="A717" s="241" t="str">
        <f t="shared" si="12"/>
        <v/>
      </c>
      <c r="B717" s="323"/>
      <c r="C717" s="324"/>
      <c r="D717" s="325"/>
      <c r="E717" s="349"/>
      <c r="F717" s="347"/>
      <c r="G717" s="30"/>
      <c r="H717" s="30"/>
      <c r="I717" s="30"/>
      <c r="J717" s="30"/>
      <c r="K717" s="30"/>
      <c r="L717" s="30"/>
      <c r="M717" s="30"/>
      <c r="N717" s="30"/>
      <c r="O717" s="154"/>
      <c r="P717" s="154"/>
      <c r="Q717" s="50"/>
      <c r="R717" s="50"/>
      <c r="S717" s="50"/>
      <c r="T717" s="50"/>
      <c r="U717" s="50"/>
      <c r="V717" s="50"/>
      <c r="W717" s="50"/>
      <c r="X717" s="51"/>
      <c r="Y717" s="50"/>
      <c r="Z717" s="30"/>
      <c r="AA717" s="104"/>
      <c r="AB717" s="10"/>
      <c r="AC717" s="60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8"/>
      <c r="BC717" s="147"/>
      <c r="BD717" s="54"/>
      <c r="BE717" s="32"/>
    </row>
    <row r="718" spans="1:57" x14ac:dyDescent="0.3">
      <c r="A718" s="241" t="str">
        <f t="shared" si="12"/>
        <v/>
      </c>
      <c r="B718" s="323"/>
      <c r="C718" s="324"/>
      <c r="D718" s="325"/>
      <c r="E718" s="349"/>
      <c r="F718" s="347"/>
      <c r="G718" s="30"/>
      <c r="H718" s="30"/>
      <c r="I718" s="30"/>
      <c r="J718" s="30"/>
      <c r="K718" s="30"/>
      <c r="L718" s="30"/>
      <c r="M718" s="30"/>
      <c r="N718" s="30"/>
      <c r="O718" s="154"/>
      <c r="P718" s="154"/>
      <c r="Q718" s="50"/>
      <c r="R718" s="50"/>
      <c r="S718" s="50"/>
      <c r="T718" s="50"/>
      <c r="U718" s="50"/>
      <c r="V718" s="50"/>
      <c r="W718" s="50"/>
      <c r="X718" s="51"/>
      <c r="Y718" s="50"/>
      <c r="Z718" s="30"/>
      <c r="AA718" s="104"/>
      <c r="AB718" s="10"/>
      <c r="AC718" s="60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8"/>
      <c r="BC718" s="147"/>
      <c r="BD718" s="54"/>
      <c r="BE718" s="32"/>
    </row>
    <row r="719" spans="1:57" x14ac:dyDescent="0.3">
      <c r="A719" s="241" t="str">
        <f t="shared" si="12"/>
        <v/>
      </c>
      <c r="B719" s="323"/>
      <c r="C719" s="324"/>
      <c r="D719" s="325"/>
      <c r="E719" s="349"/>
      <c r="F719" s="347"/>
      <c r="G719" s="30"/>
      <c r="H719" s="30"/>
      <c r="I719" s="30"/>
      <c r="J719" s="30"/>
      <c r="K719" s="30"/>
      <c r="L719" s="30"/>
      <c r="M719" s="30"/>
      <c r="N719" s="30"/>
      <c r="O719" s="154"/>
      <c r="P719" s="154"/>
      <c r="Q719" s="50"/>
      <c r="R719" s="50"/>
      <c r="S719" s="50"/>
      <c r="T719" s="50"/>
      <c r="U719" s="50"/>
      <c r="V719" s="50"/>
      <c r="W719" s="50"/>
      <c r="X719" s="51"/>
      <c r="Y719" s="50"/>
      <c r="Z719" s="30"/>
      <c r="AA719" s="104"/>
      <c r="AB719" s="10"/>
      <c r="AC719" s="60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8"/>
      <c r="BC719" s="147"/>
      <c r="BD719" s="54"/>
      <c r="BE719" s="32"/>
    </row>
    <row r="720" spans="1:57" x14ac:dyDescent="0.3">
      <c r="A720" s="241" t="str">
        <f t="shared" si="12"/>
        <v/>
      </c>
      <c r="B720" s="323"/>
      <c r="C720" s="324"/>
      <c r="D720" s="325"/>
      <c r="E720" s="349"/>
      <c r="F720" s="347"/>
      <c r="G720" s="30"/>
      <c r="H720" s="30"/>
      <c r="I720" s="30"/>
      <c r="J720" s="30"/>
      <c r="K720" s="30"/>
      <c r="L720" s="30"/>
      <c r="M720" s="30"/>
      <c r="N720" s="30"/>
      <c r="O720" s="154"/>
      <c r="P720" s="154"/>
      <c r="Q720" s="50"/>
      <c r="R720" s="50"/>
      <c r="S720" s="50"/>
      <c r="T720" s="50"/>
      <c r="U720" s="50"/>
      <c r="V720" s="50"/>
      <c r="W720" s="50"/>
      <c r="X720" s="51"/>
      <c r="Y720" s="50"/>
      <c r="Z720" s="30"/>
      <c r="AA720" s="104"/>
      <c r="AB720" s="10"/>
      <c r="AC720" s="60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8"/>
      <c r="BC720" s="147"/>
      <c r="BD720" s="54"/>
      <c r="BE720" s="32"/>
    </row>
    <row r="721" spans="1:57" x14ac:dyDescent="0.3">
      <c r="A721" s="241" t="str">
        <f t="shared" si="12"/>
        <v/>
      </c>
      <c r="B721" s="323"/>
      <c r="C721" s="324"/>
      <c r="D721" s="325"/>
      <c r="E721" s="349"/>
      <c r="F721" s="347"/>
      <c r="G721" s="30"/>
      <c r="H721" s="30"/>
      <c r="I721" s="30"/>
      <c r="J721" s="30"/>
      <c r="K721" s="30"/>
      <c r="L721" s="30"/>
      <c r="M721" s="30"/>
      <c r="N721" s="30"/>
      <c r="O721" s="154"/>
      <c r="P721" s="154"/>
      <c r="Q721" s="50"/>
      <c r="R721" s="50"/>
      <c r="S721" s="50"/>
      <c r="T721" s="50"/>
      <c r="U721" s="50"/>
      <c r="V721" s="50"/>
      <c r="W721" s="50"/>
      <c r="X721" s="51"/>
      <c r="Y721" s="50"/>
      <c r="Z721" s="30"/>
      <c r="AA721" s="104"/>
      <c r="AB721" s="10"/>
      <c r="AC721" s="60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8"/>
      <c r="BC721" s="147"/>
      <c r="BD721" s="54"/>
      <c r="BE721" s="32"/>
    </row>
    <row r="722" spans="1:57" x14ac:dyDescent="0.3">
      <c r="A722" s="241" t="str">
        <f t="shared" si="12"/>
        <v/>
      </c>
      <c r="B722" s="323"/>
      <c r="C722" s="324"/>
      <c r="D722" s="325"/>
      <c r="E722" s="349"/>
      <c r="F722" s="347"/>
      <c r="G722" s="30"/>
      <c r="H722" s="30"/>
      <c r="I722" s="30"/>
      <c r="J722" s="30"/>
      <c r="K722" s="30"/>
      <c r="L722" s="30"/>
      <c r="M722" s="30"/>
      <c r="N722" s="30"/>
      <c r="O722" s="154"/>
      <c r="P722" s="154"/>
      <c r="Q722" s="50"/>
      <c r="R722" s="50"/>
      <c r="S722" s="50"/>
      <c r="T722" s="50"/>
      <c r="U722" s="50"/>
      <c r="V722" s="50"/>
      <c r="W722" s="50"/>
      <c r="X722" s="51"/>
      <c r="Y722" s="50"/>
      <c r="Z722" s="30"/>
      <c r="AA722" s="104"/>
      <c r="AB722" s="10"/>
      <c r="AC722" s="60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8"/>
      <c r="BC722" s="147"/>
      <c r="BD722" s="54"/>
      <c r="BE722" s="32"/>
    </row>
    <row r="723" spans="1:57" x14ac:dyDescent="0.3">
      <c r="A723" s="241" t="str">
        <f t="shared" si="12"/>
        <v/>
      </c>
      <c r="B723" s="323"/>
      <c r="C723" s="324"/>
      <c r="D723" s="325"/>
      <c r="E723" s="349"/>
      <c r="F723" s="347"/>
      <c r="G723" s="30"/>
      <c r="H723" s="30"/>
      <c r="I723" s="30"/>
      <c r="J723" s="30"/>
      <c r="K723" s="30"/>
      <c r="L723" s="30"/>
      <c r="M723" s="30"/>
      <c r="N723" s="30"/>
      <c r="O723" s="154"/>
      <c r="P723" s="154"/>
      <c r="Q723" s="50"/>
      <c r="R723" s="50"/>
      <c r="S723" s="50"/>
      <c r="T723" s="50"/>
      <c r="U723" s="50"/>
      <c r="V723" s="50"/>
      <c r="W723" s="50"/>
      <c r="X723" s="51"/>
      <c r="Y723" s="50"/>
      <c r="Z723" s="30"/>
      <c r="AA723" s="104"/>
      <c r="AB723" s="10"/>
      <c r="AC723" s="60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8"/>
      <c r="BC723" s="147"/>
      <c r="BD723" s="54"/>
      <c r="BE723" s="32"/>
    </row>
    <row r="724" spans="1:57" x14ac:dyDescent="0.3">
      <c r="A724" s="241" t="str">
        <f t="shared" si="12"/>
        <v/>
      </c>
      <c r="B724" s="323"/>
      <c r="C724" s="324"/>
      <c r="D724" s="325"/>
      <c r="E724" s="349"/>
      <c r="F724" s="347"/>
      <c r="G724" s="30"/>
      <c r="H724" s="30"/>
      <c r="I724" s="30"/>
      <c r="J724" s="30"/>
      <c r="K724" s="30"/>
      <c r="L724" s="30"/>
      <c r="M724" s="30"/>
      <c r="N724" s="30"/>
      <c r="O724" s="154"/>
      <c r="P724" s="154"/>
      <c r="Q724" s="50"/>
      <c r="R724" s="50"/>
      <c r="S724" s="50"/>
      <c r="T724" s="50"/>
      <c r="U724" s="50"/>
      <c r="V724" s="50"/>
      <c r="W724" s="50"/>
      <c r="X724" s="51"/>
      <c r="Y724" s="50"/>
      <c r="Z724" s="30"/>
      <c r="AA724" s="104"/>
      <c r="AB724" s="10"/>
      <c r="AC724" s="60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8"/>
      <c r="BC724" s="147"/>
      <c r="BD724" s="54"/>
      <c r="BE724" s="32"/>
    </row>
    <row r="725" spans="1:57" x14ac:dyDescent="0.3">
      <c r="A725" s="241" t="str">
        <f t="shared" ref="A725:A741" si="13">CONCATENATE(B725,C725)</f>
        <v/>
      </c>
      <c r="B725" s="323"/>
      <c r="C725" s="324"/>
      <c r="D725" s="325"/>
      <c r="E725" s="349"/>
      <c r="F725" s="347"/>
      <c r="G725" s="30"/>
      <c r="H725" s="30"/>
      <c r="I725" s="30"/>
      <c r="J725" s="30"/>
      <c r="K725" s="30"/>
      <c r="L725" s="30"/>
      <c r="M725" s="30"/>
      <c r="N725" s="30"/>
      <c r="O725" s="154"/>
      <c r="P725" s="154"/>
      <c r="Q725" s="50"/>
      <c r="R725" s="50"/>
      <c r="S725" s="50"/>
      <c r="T725" s="50"/>
      <c r="U725" s="50"/>
      <c r="V725" s="50"/>
      <c r="W725" s="50"/>
      <c r="X725" s="51"/>
      <c r="Y725" s="50"/>
      <c r="Z725" s="30"/>
      <c r="AA725" s="104"/>
      <c r="AB725" s="10"/>
      <c r="AC725" s="60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8"/>
      <c r="BC725" s="147"/>
      <c r="BD725" s="54"/>
      <c r="BE725" s="32"/>
    </row>
    <row r="726" spans="1:57" x14ac:dyDescent="0.3">
      <c r="A726" s="241" t="str">
        <f t="shared" si="13"/>
        <v/>
      </c>
      <c r="B726" s="323"/>
      <c r="C726" s="324"/>
      <c r="D726" s="325"/>
      <c r="E726" s="349"/>
      <c r="F726" s="347"/>
      <c r="G726" s="30"/>
      <c r="H726" s="30"/>
      <c r="I726" s="30"/>
      <c r="J726" s="30"/>
      <c r="K726" s="30"/>
      <c r="L726" s="30"/>
      <c r="M726" s="30"/>
      <c r="N726" s="30"/>
      <c r="O726" s="154"/>
      <c r="P726" s="154"/>
      <c r="Q726" s="50"/>
      <c r="R726" s="50"/>
      <c r="S726" s="50"/>
      <c r="T726" s="50"/>
      <c r="U726" s="50"/>
      <c r="V726" s="50"/>
      <c r="W726" s="50"/>
      <c r="X726" s="51"/>
      <c r="Y726" s="50"/>
      <c r="Z726" s="30"/>
      <c r="AA726" s="104"/>
      <c r="AB726" s="10"/>
      <c r="AC726" s="60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8"/>
      <c r="BC726" s="147"/>
      <c r="BD726" s="54"/>
      <c r="BE726" s="32"/>
    </row>
    <row r="727" spans="1:57" x14ac:dyDescent="0.3">
      <c r="A727" s="241" t="str">
        <f t="shared" si="13"/>
        <v/>
      </c>
      <c r="B727" s="323"/>
      <c r="C727" s="324"/>
      <c r="D727" s="325"/>
      <c r="E727" s="349"/>
      <c r="F727" s="347"/>
      <c r="G727" s="30"/>
      <c r="H727" s="30"/>
      <c r="I727" s="30"/>
      <c r="J727" s="30"/>
      <c r="K727" s="30"/>
      <c r="L727" s="30"/>
      <c r="M727" s="30"/>
      <c r="N727" s="30"/>
      <c r="O727" s="154"/>
      <c r="P727" s="154"/>
      <c r="Q727" s="50"/>
      <c r="R727" s="50"/>
      <c r="S727" s="50"/>
      <c r="T727" s="50"/>
      <c r="U727" s="50"/>
      <c r="V727" s="50"/>
      <c r="W727" s="50"/>
      <c r="X727" s="51"/>
      <c r="Y727" s="50"/>
      <c r="Z727" s="30"/>
      <c r="AA727" s="104"/>
      <c r="AB727" s="10"/>
      <c r="AC727" s="60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8"/>
      <c r="BC727" s="147"/>
      <c r="BD727" s="54"/>
      <c r="BE727" s="32"/>
    </row>
    <row r="728" spans="1:57" x14ac:dyDescent="0.3">
      <c r="A728" s="241" t="str">
        <f t="shared" si="13"/>
        <v/>
      </c>
      <c r="B728" s="323"/>
      <c r="C728" s="324"/>
      <c r="D728" s="325"/>
      <c r="E728" s="349"/>
      <c r="F728" s="347"/>
      <c r="G728" s="30"/>
      <c r="H728" s="30"/>
      <c r="I728" s="30"/>
      <c r="J728" s="30"/>
      <c r="K728" s="30"/>
      <c r="L728" s="30"/>
      <c r="M728" s="30"/>
      <c r="N728" s="30"/>
      <c r="O728" s="154"/>
      <c r="P728" s="154"/>
      <c r="Q728" s="50"/>
      <c r="R728" s="50"/>
      <c r="S728" s="50"/>
      <c r="T728" s="50"/>
      <c r="U728" s="50"/>
      <c r="V728" s="50"/>
      <c r="W728" s="50"/>
      <c r="X728" s="51"/>
      <c r="Y728" s="50"/>
      <c r="Z728" s="30"/>
      <c r="AA728" s="104"/>
      <c r="AB728" s="10"/>
      <c r="AC728" s="60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8"/>
      <c r="BC728" s="147"/>
      <c r="BD728" s="54"/>
      <c r="BE728" s="32"/>
    </row>
    <row r="729" spans="1:57" x14ac:dyDescent="0.3">
      <c r="A729" s="241" t="str">
        <f t="shared" si="13"/>
        <v/>
      </c>
      <c r="B729" s="323"/>
      <c r="C729" s="324"/>
      <c r="D729" s="325"/>
      <c r="E729" s="349"/>
      <c r="F729" s="347"/>
      <c r="G729" s="30"/>
      <c r="H729" s="30"/>
      <c r="I729" s="30"/>
      <c r="J729" s="30"/>
      <c r="K729" s="30"/>
      <c r="L729" s="30"/>
      <c r="M729" s="30"/>
      <c r="N729" s="30"/>
      <c r="O729" s="154"/>
      <c r="P729" s="154"/>
      <c r="Q729" s="50"/>
      <c r="R729" s="50"/>
      <c r="S729" s="50"/>
      <c r="T729" s="50"/>
      <c r="U729" s="50"/>
      <c r="V729" s="50"/>
      <c r="W729" s="50"/>
      <c r="X729" s="51"/>
      <c r="Y729" s="50"/>
      <c r="Z729" s="30"/>
      <c r="AA729" s="104"/>
      <c r="AB729" s="10"/>
      <c r="AC729" s="60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8"/>
      <c r="BC729" s="147"/>
      <c r="BD729" s="54"/>
      <c r="BE729" s="32"/>
    </row>
    <row r="730" spans="1:57" x14ac:dyDescent="0.3">
      <c r="A730" s="241" t="str">
        <f t="shared" si="13"/>
        <v/>
      </c>
      <c r="B730" s="323"/>
      <c r="C730" s="324"/>
      <c r="D730" s="325"/>
      <c r="E730" s="349"/>
      <c r="F730" s="347"/>
      <c r="G730" s="30"/>
      <c r="H730" s="30"/>
      <c r="I730" s="30"/>
      <c r="J730" s="30"/>
      <c r="K730" s="30"/>
      <c r="L730" s="30"/>
      <c r="M730" s="30"/>
      <c r="N730" s="30"/>
      <c r="O730" s="154"/>
      <c r="P730" s="154"/>
      <c r="Q730" s="50"/>
      <c r="R730" s="50"/>
      <c r="S730" s="50"/>
      <c r="T730" s="50"/>
      <c r="U730" s="50"/>
      <c r="V730" s="50"/>
      <c r="W730" s="50"/>
      <c r="X730" s="51"/>
      <c r="Y730" s="50"/>
      <c r="Z730" s="30"/>
      <c r="AA730" s="104"/>
      <c r="AB730" s="10"/>
      <c r="AC730" s="60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8"/>
      <c r="BC730" s="147"/>
      <c r="BD730" s="54"/>
      <c r="BE730" s="32"/>
    </row>
    <row r="731" spans="1:57" x14ac:dyDescent="0.3">
      <c r="A731" s="241" t="str">
        <f t="shared" si="13"/>
        <v/>
      </c>
      <c r="B731" s="323"/>
      <c r="C731" s="324"/>
      <c r="D731" s="325"/>
      <c r="E731" s="349"/>
      <c r="F731" s="347"/>
      <c r="G731" s="30"/>
      <c r="H731" s="30"/>
      <c r="I731" s="30"/>
      <c r="J731" s="30"/>
      <c r="K731" s="30"/>
      <c r="L731" s="30"/>
      <c r="M731" s="30"/>
      <c r="N731" s="30"/>
      <c r="O731" s="154"/>
      <c r="P731" s="154"/>
      <c r="Q731" s="50"/>
      <c r="R731" s="50"/>
      <c r="S731" s="50"/>
      <c r="T731" s="50"/>
      <c r="U731" s="50"/>
      <c r="V731" s="50"/>
      <c r="W731" s="50"/>
      <c r="X731" s="51"/>
      <c r="Y731" s="50"/>
      <c r="Z731" s="30"/>
      <c r="AA731" s="104"/>
      <c r="AB731" s="10"/>
      <c r="AC731" s="60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8"/>
      <c r="BC731" s="147"/>
      <c r="BD731" s="54"/>
      <c r="BE731" s="32"/>
    </row>
    <row r="732" spans="1:57" x14ac:dyDescent="0.3">
      <c r="A732" s="241" t="str">
        <f t="shared" si="13"/>
        <v/>
      </c>
      <c r="B732" s="323"/>
      <c r="C732" s="324"/>
      <c r="D732" s="325"/>
      <c r="E732" s="349"/>
      <c r="F732" s="347"/>
      <c r="G732" s="30"/>
      <c r="H732" s="30"/>
      <c r="I732" s="30"/>
      <c r="J732" s="30"/>
      <c r="K732" s="30"/>
      <c r="L732" s="30"/>
      <c r="M732" s="30"/>
      <c r="N732" s="30"/>
      <c r="O732" s="154"/>
      <c r="P732" s="154"/>
      <c r="Q732" s="50"/>
      <c r="R732" s="50"/>
      <c r="S732" s="50"/>
      <c r="T732" s="50"/>
      <c r="U732" s="50"/>
      <c r="V732" s="50"/>
      <c r="W732" s="50"/>
      <c r="X732" s="51"/>
      <c r="Y732" s="50"/>
      <c r="Z732" s="30"/>
      <c r="AA732" s="104"/>
      <c r="AB732" s="10"/>
      <c r="AC732" s="60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8"/>
      <c r="BC732" s="147"/>
      <c r="BD732" s="54"/>
      <c r="BE732" s="32"/>
    </row>
    <row r="733" spans="1:57" x14ac:dyDescent="0.3">
      <c r="A733" s="241" t="str">
        <f t="shared" si="13"/>
        <v/>
      </c>
      <c r="B733" s="323"/>
      <c r="C733" s="324"/>
      <c r="D733" s="325"/>
      <c r="E733" s="349"/>
      <c r="F733" s="347"/>
      <c r="G733" s="30"/>
      <c r="H733" s="30"/>
      <c r="I733" s="30"/>
      <c r="J733" s="30"/>
      <c r="K733" s="30"/>
      <c r="L733" s="30"/>
      <c r="M733" s="30"/>
      <c r="N733" s="30"/>
      <c r="O733" s="154"/>
      <c r="P733" s="154"/>
      <c r="Q733" s="50"/>
      <c r="R733" s="50"/>
      <c r="S733" s="50"/>
      <c r="T733" s="50"/>
      <c r="U733" s="50"/>
      <c r="V733" s="50"/>
      <c r="W733" s="50"/>
      <c r="X733" s="51"/>
      <c r="Y733" s="50"/>
      <c r="Z733" s="30"/>
      <c r="AA733" s="104"/>
      <c r="AB733" s="10"/>
      <c r="AC733" s="60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8"/>
      <c r="BC733" s="147"/>
      <c r="BD733" s="54"/>
      <c r="BE733" s="32"/>
    </row>
    <row r="734" spans="1:57" x14ac:dyDescent="0.3">
      <c r="A734" s="241" t="str">
        <f t="shared" si="13"/>
        <v/>
      </c>
      <c r="B734" s="323"/>
      <c r="C734" s="324"/>
      <c r="D734" s="325"/>
      <c r="E734" s="349"/>
      <c r="F734" s="347"/>
      <c r="G734" s="30"/>
      <c r="H734" s="30"/>
      <c r="I734" s="30"/>
      <c r="J734" s="30"/>
      <c r="K734" s="30"/>
      <c r="L734" s="30"/>
      <c r="M734" s="30"/>
      <c r="N734" s="30"/>
      <c r="O734" s="154"/>
      <c r="P734" s="154"/>
      <c r="Q734" s="50"/>
      <c r="R734" s="50"/>
      <c r="S734" s="50"/>
      <c r="T734" s="50"/>
      <c r="U734" s="50"/>
      <c r="V734" s="50"/>
      <c r="W734" s="50"/>
      <c r="X734" s="51"/>
      <c r="Y734" s="50"/>
      <c r="Z734" s="30"/>
      <c r="AA734" s="104"/>
      <c r="AB734" s="10"/>
      <c r="AC734" s="60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8"/>
      <c r="BC734" s="147"/>
      <c r="BD734" s="54"/>
      <c r="BE734" s="32"/>
    </row>
    <row r="735" spans="1:57" x14ac:dyDescent="0.3">
      <c r="A735" s="241" t="str">
        <f t="shared" si="13"/>
        <v/>
      </c>
      <c r="B735" s="323"/>
      <c r="C735" s="324"/>
      <c r="D735" s="325"/>
      <c r="E735" s="349"/>
      <c r="F735" s="347"/>
      <c r="G735" s="30"/>
      <c r="H735" s="30"/>
      <c r="I735" s="30"/>
      <c r="J735" s="30"/>
      <c r="K735" s="30"/>
      <c r="L735" s="30"/>
      <c r="M735" s="30"/>
      <c r="N735" s="30"/>
      <c r="O735" s="154"/>
      <c r="P735" s="154"/>
      <c r="Q735" s="50"/>
      <c r="R735" s="50"/>
      <c r="S735" s="50"/>
      <c r="T735" s="50"/>
      <c r="U735" s="50"/>
      <c r="V735" s="50"/>
      <c r="W735" s="50"/>
      <c r="X735" s="51"/>
      <c r="Y735" s="50"/>
      <c r="Z735" s="30"/>
      <c r="AA735" s="104"/>
      <c r="AB735" s="10"/>
      <c r="AC735" s="60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8"/>
      <c r="BC735" s="147"/>
      <c r="BD735" s="54"/>
      <c r="BE735" s="32"/>
    </row>
    <row r="736" spans="1:57" x14ac:dyDescent="0.3">
      <c r="A736" s="241" t="str">
        <f t="shared" si="13"/>
        <v/>
      </c>
      <c r="B736" s="323"/>
      <c r="C736" s="324"/>
      <c r="D736" s="325"/>
      <c r="E736" s="349"/>
      <c r="F736" s="347"/>
      <c r="G736" s="30"/>
      <c r="H736" s="30"/>
      <c r="I736" s="30"/>
      <c r="J736" s="30"/>
      <c r="K736" s="30"/>
      <c r="L736" s="30"/>
      <c r="M736" s="30"/>
      <c r="N736" s="30"/>
      <c r="O736" s="154"/>
      <c r="P736" s="154"/>
      <c r="Q736" s="50"/>
      <c r="R736" s="50"/>
      <c r="S736" s="50"/>
      <c r="T736" s="50"/>
      <c r="U736" s="50"/>
      <c r="V736" s="50"/>
      <c r="W736" s="50"/>
      <c r="X736" s="51"/>
      <c r="Y736" s="50"/>
      <c r="Z736" s="30"/>
      <c r="AA736" s="104"/>
      <c r="AB736" s="10"/>
      <c r="AC736" s="60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8"/>
      <c r="BC736" s="147"/>
      <c r="BD736" s="54"/>
      <c r="BE736" s="32"/>
    </row>
    <row r="737" spans="1:57" x14ac:dyDescent="0.3">
      <c r="A737" s="241" t="str">
        <f t="shared" si="13"/>
        <v/>
      </c>
      <c r="B737" s="323"/>
      <c r="C737" s="324"/>
      <c r="D737" s="325"/>
      <c r="E737" s="349"/>
      <c r="F737" s="347"/>
      <c r="G737" s="30"/>
      <c r="H737" s="30"/>
      <c r="I737" s="30"/>
      <c r="J737" s="30"/>
      <c r="K737" s="30"/>
      <c r="L737" s="30"/>
      <c r="M737" s="30"/>
      <c r="N737" s="30"/>
      <c r="O737" s="154"/>
      <c r="P737" s="154"/>
      <c r="Q737" s="50"/>
      <c r="R737" s="50"/>
      <c r="S737" s="50"/>
      <c r="T737" s="50"/>
      <c r="U737" s="50"/>
      <c r="V737" s="50"/>
      <c r="W737" s="50"/>
      <c r="X737" s="51"/>
      <c r="Y737" s="50"/>
      <c r="Z737" s="30"/>
      <c r="AA737" s="104"/>
      <c r="AB737" s="10"/>
      <c r="AC737" s="60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8"/>
      <c r="BC737" s="147"/>
      <c r="BD737" s="54"/>
      <c r="BE737" s="32"/>
    </row>
    <row r="738" spans="1:57" x14ac:dyDescent="0.3">
      <c r="A738" s="241" t="str">
        <f t="shared" si="13"/>
        <v/>
      </c>
      <c r="B738" s="323"/>
      <c r="C738" s="324"/>
      <c r="D738" s="325"/>
      <c r="E738" s="349"/>
      <c r="F738" s="347"/>
      <c r="G738" s="30"/>
      <c r="H738" s="30"/>
      <c r="I738" s="30"/>
      <c r="J738" s="30"/>
      <c r="K738" s="30"/>
      <c r="L738" s="30"/>
      <c r="M738" s="30"/>
      <c r="N738" s="30"/>
      <c r="O738" s="154"/>
      <c r="P738" s="154"/>
      <c r="Q738" s="50"/>
      <c r="R738" s="50"/>
      <c r="S738" s="50"/>
      <c r="T738" s="50"/>
      <c r="U738" s="50"/>
      <c r="V738" s="50"/>
      <c r="W738" s="50"/>
      <c r="X738" s="51"/>
      <c r="Y738" s="50"/>
      <c r="Z738" s="30"/>
      <c r="AA738" s="104"/>
      <c r="AB738" s="10"/>
      <c r="AC738" s="60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8"/>
      <c r="BC738" s="147"/>
      <c r="BD738" s="54"/>
      <c r="BE738" s="32"/>
    </row>
    <row r="739" spans="1:57" x14ac:dyDescent="0.3">
      <c r="A739" s="241" t="str">
        <f t="shared" si="13"/>
        <v/>
      </c>
      <c r="B739" s="323"/>
      <c r="C739" s="324"/>
      <c r="D739" s="325"/>
      <c r="E739" s="349"/>
      <c r="F739" s="347"/>
      <c r="G739" s="30"/>
      <c r="H739" s="30"/>
      <c r="I739" s="30"/>
      <c r="J739" s="30"/>
      <c r="K739" s="30"/>
      <c r="L739" s="30"/>
      <c r="M739" s="30"/>
      <c r="N739" s="30"/>
      <c r="O739" s="154"/>
      <c r="P739" s="154"/>
      <c r="Q739" s="50"/>
      <c r="R739" s="50"/>
      <c r="S739" s="50"/>
      <c r="T739" s="50"/>
      <c r="U739" s="50"/>
      <c r="V739" s="50"/>
      <c r="W739" s="50"/>
      <c r="X739" s="51"/>
      <c r="Y739" s="50"/>
      <c r="Z739" s="30"/>
      <c r="AA739" s="104"/>
      <c r="AB739" s="10"/>
      <c r="AC739" s="60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8"/>
      <c r="BC739" s="147"/>
      <c r="BD739" s="54"/>
      <c r="BE739" s="32"/>
    </row>
    <row r="740" spans="1:57" x14ac:dyDescent="0.3">
      <c r="A740" s="241" t="str">
        <f t="shared" si="13"/>
        <v/>
      </c>
      <c r="B740" s="323"/>
      <c r="C740" s="324"/>
      <c r="D740" s="325"/>
      <c r="E740" s="349"/>
      <c r="F740" s="347"/>
      <c r="G740" s="30"/>
      <c r="H740" s="30"/>
      <c r="I740" s="30"/>
      <c r="J740" s="30"/>
      <c r="K740" s="30"/>
      <c r="L740" s="30"/>
      <c r="M740" s="30"/>
      <c r="N740" s="30"/>
      <c r="O740" s="154"/>
      <c r="P740" s="154"/>
      <c r="Q740" s="50"/>
      <c r="R740" s="50"/>
      <c r="S740" s="50"/>
      <c r="T740" s="50"/>
      <c r="U740" s="50"/>
      <c r="V740" s="50"/>
      <c r="W740" s="50"/>
      <c r="X740" s="51"/>
      <c r="Y740" s="50"/>
      <c r="Z740" s="30"/>
      <c r="AA740" s="104"/>
      <c r="AB740" s="10"/>
      <c r="AC740" s="60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8"/>
      <c r="BC740" s="147"/>
      <c r="BD740" s="54"/>
      <c r="BE740" s="32"/>
    </row>
    <row r="741" spans="1:57" x14ac:dyDescent="0.3">
      <c r="A741" s="241" t="str">
        <f t="shared" si="13"/>
        <v/>
      </c>
      <c r="B741" s="323"/>
      <c r="C741" s="326"/>
      <c r="D741" s="325"/>
      <c r="E741" s="349"/>
      <c r="F741" s="347"/>
      <c r="G741" s="30"/>
      <c r="H741" s="30"/>
      <c r="I741" s="30"/>
      <c r="J741" s="30"/>
      <c r="K741" s="30"/>
      <c r="L741" s="30"/>
      <c r="M741" s="30"/>
      <c r="N741" s="30"/>
      <c r="O741" s="154"/>
      <c r="P741" s="154"/>
      <c r="Q741" s="50"/>
      <c r="R741" s="50"/>
      <c r="S741" s="50"/>
      <c r="T741" s="50"/>
      <c r="U741" s="50"/>
      <c r="V741" s="50"/>
      <c r="W741" s="50"/>
      <c r="X741" s="51"/>
      <c r="Y741" s="50"/>
      <c r="Z741" s="30"/>
      <c r="AA741" s="104"/>
      <c r="AB741" s="10"/>
      <c r="AC741" s="60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8"/>
      <c r="BC741" s="147"/>
      <c r="BD741" s="54"/>
      <c r="BE741" s="32"/>
    </row>
  </sheetData>
  <autoFilter ref="A3:BM741">
    <sortState ref="A153:BL745">
      <sortCondition ref="D3:D745"/>
    </sortState>
  </autoFilter>
  <sortState ref="A4:BK311">
    <sortCondition ref="D4"/>
  </sortState>
  <mergeCells count="5">
    <mergeCell ref="A2:E2"/>
    <mergeCell ref="F2:Y2"/>
    <mergeCell ref="AD2:AO2"/>
    <mergeCell ref="AP2:BA2"/>
    <mergeCell ref="BF2:BL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Z80"/>
  <sheetViews>
    <sheetView tabSelected="1" zoomScaleNormal="100" zoomScaleSheetLayoutView="90" workbookViewId="0">
      <selection activeCell="N22" sqref="N22"/>
    </sheetView>
  </sheetViews>
  <sheetFormatPr defaultColWidth="9.109375" defaultRowHeight="14.4" x14ac:dyDescent="0.3"/>
  <cols>
    <col min="1" max="1" width="3.88671875" style="316" customWidth="1"/>
    <col min="2" max="2" width="10.44140625" style="13" customWidth="1"/>
    <col min="3" max="3" width="21.109375" style="26" customWidth="1"/>
    <col min="4" max="4" width="15.88671875" style="27" customWidth="1"/>
    <col min="5" max="5" width="12.33203125" style="168" customWidth="1"/>
    <col min="6" max="7" width="14.6640625" style="26" customWidth="1"/>
    <col min="8" max="8" width="14.6640625" style="27" customWidth="1"/>
    <col min="9" max="9" width="14.6640625" style="25" customWidth="1"/>
    <col min="10" max="10" width="6.6640625" style="25" customWidth="1"/>
    <col min="11" max="12" width="6.6640625" style="16" customWidth="1"/>
    <col min="13" max="15" width="9.109375" style="16" customWidth="1"/>
    <col min="16" max="16" width="62.33203125" style="16" bestFit="1" customWidth="1"/>
    <col min="17" max="26" width="9.109375" style="16" customWidth="1"/>
    <col min="27" max="16384" width="9.109375" style="16"/>
  </cols>
  <sheetData>
    <row r="1" spans="1:26" ht="39.9" customHeight="1" x14ac:dyDescent="0.3">
      <c r="B1" s="95"/>
      <c r="C1" s="14" t="s">
        <v>42</v>
      </c>
      <c r="D1" s="398" t="s">
        <v>43</v>
      </c>
      <c r="E1" s="398"/>
      <c r="F1" s="398"/>
      <c r="G1" s="398"/>
      <c r="H1" s="280"/>
      <c r="I1" s="280"/>
      <c r="J1" s="15"/>
      <c r="K1" s="21"/>
      <c r="L1" s="21"/>
      <c r="Z1" s="16" t="str">
        <f>CONCATENATE(C3,E3)</f>
        <v/>
      </c>
    </row>
    <row r="2" spans="1:26" ht="11.25" customHeight="1" x14ac:dyDescent="0.3">
      <c r="B2" s="116"/>
      <c r="C2" s="22"/>
      <c r="D2" s="22"/>
      <c r="E2" s="162"/>
      <c r="F2" s="22"/>
      <c r="G2" s="22"/>
      <c r="H2" s="22"/>
      <c r="I2" s="22"/>
      <c r="J2" s="17"/>
      <c r="K2" s="21"/>
      <c r="L2" s="21"/>
      <c r="M2" s="21"/>
      <c r="N2" s="21"/>
    </row>
    <row r="3" spans="1:26" s="18" customFormat="1" ht="20.100000000000001" customHeight="1" x14ac:dyDescent="0.3">
      <c r="A3" s="284"/>
      <c r="B3" s="22" t="s">
        <v>53</v>
      </c>
      <c r="C3" s="243"/>
      <c r="D3" s="228"/>
      <c r="E3" s="185"/>
      <c r="F3" s="83" t="s">
        <v>28</v>
      </c>
      <c r="G3" s="178">
        <f>VLOOKUP(Z1,Distribuição!A:D,4,FALSE)</f>
        <v>0</v>
      </c>
      <c r="H3" s="284"/>
      <c r="I3" s="284"/>
      <c r="J3" s="42"/>
      <c r="K3" s="28"/>
      <c r="L3" s="28"/>
      <c r="M3" s="28"/>
      <c r="N3" s="28"/>
      <c r="Z3" s="16"/>
    </row>
    <row r="4" spans="1:26" s="19" customFormat="1" ht="8.25" customHeight="1" x14ac:dyDescent="0.3">
      <c r="A4" s="284"/>
      <c r="B4" s="313"/>
      <c r="C4" s="63"/>
      <c r="D4" s="64" t="s">
        <v>126</v>
      </c>
      <c r="E4" s="164"/>
      <c r="F4" s="64" t="s">
        <v>126</v>
      </c>
      <c r="G4" s="64"/>
      <c r="H4" s="65"/>
      <c r="I4" s="66"/>
      <c r="J4" s="43"/>
      <c r="K4" s="29"/>
      <c r="L4" s="29"/>
      <c r="M4" s="29"/>
      <c r="N4" s="29"/>
    </row>
    <row r="5" spans="1:26" ht="20.100000000000001" customHeight="1" x14ac:dyDescent="0.3">
      <c r="B5" s="22" t="s">
        <v>52</v>
      </c>
      <c r="C5" s="426">
        <f>VLOOKUP(Z1,[1]Agosto!A$1:N$65537,5,FALSE)</f>
        <v>45139</v>
      </c>
      <c r="D5" s="427"/>
      <c r="E5" s="427"/>
      <c r="F5" s="427"/>
      <c r="G5" s="427"/>
      <c r="H5" s="427"/>
      <c r="I5" s="428"/>
      <c r="J5" s="44"/>
      <c r="K5" s="21"/>
      <c r="L5" s="21"/>
      <c r="M5" s="21"/>
    </row>
    <row r="6" spans="1:26" ht="8.25" customHeight="1" x14ac:dyDescent="0.3">
      <c r="B6" s="67"/>
      <c r="C6" s="67"/>
      <c r="D6" s="68"/>
      <c r="E6" s="165"/>
      <c r="F6" s="68"/>
      <c r="G6" s="68"/>
      <c r="H6" s="68"/>
      <c r="I6" s="68"/>
      <c r="J6" s="45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6" ht="20.100000000000001" customHeight="1" x14ac:dyDescent="0.3">
      <c r="B7" s="22" t="s">
        <v>54</v>
      </c>
      <c r="C7" s="431" t="str">
        <f>VLOOKUP(Z1,[1]Agosto!A$1:N$65537,6,FALSE)</f>
        <v>TERÇA</v>
      </c>
      <c r="D7" s="432"/>
      <c r="E7" s="433"/>
      <c r="F7" s="83" t="s">
        <v>55</v>
      </c>
      <c r="G7" s="431">
        <f>VLOOKUP(Z1,[1]Agosto!A$1:N$65537,7,FALSE)</f>
        <v>0</v>
      </c>
      <c r="H7" s="432"/>
      <c r="I7" s="433"/>
      <c r="J7" s="400" t="s">
        <v>215</v>
      </c>
      <c r="K7" s="400"/>
      <c r="L7" s="400"/>
      <c r="M7" s="21"/>
      <c r="N7" s="21"/>
      <c r="O7" s="21"/>
    </row>
    <row r="8" spans="1:26" ht="8.25" customHeight="1" thickBot="1" x14ac:dyDescent="0.35">
      <c r="B8" s="314"/>
      <c r="C8" s="61"/>
      <c r="D8" s="62"/>
      <c r="E8" s="166"/>
      <c r="F8" s="62"/>
      <c r="G8" s="62" t="s">
        <v>126</v>
      </c>
      <c r="H8" s="62"/>
      <c r="I8" s="62"/>
      <c r="J8" s="20"/>
      <c r="K8" s="21"/>
      <c r="L8" s="21"/>
      <c r="M8" s="21"/>
      <c r="N8" s="21"/>
      <c r="O8" s="21"/>
    </row>
    <row r="9" spans="1:26" ht="15" customHeight="1" thickBot="1" x14ac:dyDescent="0.35">
      <c r="B9" s="419" t="s">
        <v>29</v>
      </c>
      <c r="C9" s="421" t="s">
        <v>44</v>
      </c>
      <c r="D9" s="422"/>
      <c r="E9" s="406" t="s">
        <v>84</v>
      </c>
      <c r="F9" s="408" t="s">
        <v>85</v>
      </c>
      <c r="G9" s="429" t="s">
        <v>45</v>
      </c>
      <c r="H9" s="430"/>
      <c r="I9" s="408" t="s">
        <v>86</v>
      </c>
      <c r="J9" s="401" t="s">
        <v>217</v>
      </c>
      <c r="K9" s="401" t="s">
        <v>218</v>
      </c>
      <c r="L9" s="401" t="s">
        <v>219</v>
      </c>
      <c r="N9" s="21"/>
      <c r="O9" s="21"/>
      <c r="R9" s="243"/>
    </row>
    <row r="10" spans="1:26" ht="15.75" customHeight="1" thickBot="1" x14ac:dyDescent="0.35">
      <c r="B10" s="420"/>
      <c r="C10" s="423"/>
      <c r="D10" s="424"/>
      <c r="E10" s="407"/>
      <c r="F10" s="409"/>
      <c r="G10" s="84" t="s">
        <v>46</v>
      </c>
      <c r="H10" s="84" t="s">
        <v>47</v>
      </c>
      <c r="I10" s="409"/>
      <c r="J10" s="401"/>
      <c r="K10" s="401"/>
      <c r="L10" s="401"/>
      <c r="M10" s="21"/>
      <c r="N10" s="21"/>
      <c r="O10" s="21"/>
    </row>
    <row r="11" spans="1:26" ht="16.5" customHeight="1" x14ac:dyDescent="0.3">
      <c r="B11" s="417" t="s">
        <v>26</v>
      </c>
      <c r="C11" s="402" t="s">
        <v>3</v>
      </c>
      <c r="D11" s="403"/>
      <c r="E11" s="285">
        <f>VLOOKUP($Z$1,Distribuição!A:BD,6,FALSE)</f>
        <v>0</v>
      </c>
      <c r="F11" s="286"/>
      <c r="G11" s="287"/>
      <c r="H11" s="287"/>
      <c r="I11" s="69"/>
      <c r="J11" s="401"/>
      <c r="K11" s="401"/>
      <c r="L11" s="401"/>
    </row>
    <row r="12" spans="1:26" ht="16.5" customHeight="1" x14ac:dyDescent="0.3">
      <c r="B12" s="418"/>
      <c r="C12" s="402" t="s">
        <v>223</v>
      </c>
      <c r="D12" s="403"/>
      <c r="E12" s="285">
        <f>VLOOKUP($Z$1,Distribuição!A:BD,7,FALSE)</f>
        <v>0</v>
      </c>
      <c r="F12" s="286"/>
      <c r="G12" s="287"/>
      <c r="H12" s="287"/>
      <c r="I12" s="69"/>
      <c r="J12" s="401"/>
      <c r="K12" s="401"/>
      <c r="L12" s="401"/>
      <c r="P12" s="369"/>
    </row>
    <row r="13" spans="1:26" ht="16.5" customHeight="1" x14ac:dyDescent="0.3">
      <c r="B13" s="418"/>
      <c r="C13" s="402" t="s">
        <v>222</v>
      </c>
      <c r="D13" s="403"/>
      <c r="E13" s="285">
        <f>VLOOKUP($Z$1,Distribuição!A:BD,8,FALSE)</f>
        <v>0</v>
      </c>
      <c r="F13" s="286"/>
      <c r="G13" s="287"/>
      <c r="H13" s="287"/>
      <c r="I13" s="69"/>
      <c r="J13" s="401"/>
      <c r="K13" s="401"/>
      <c r="L13" s="401"/>
      <c r="P13" s="94"/>
      <c r="Q13" s="94"/>
    </row>
    <row r="14" spans="1:26" ht="16.5" customHeight="1" x14ac:dyDescent="0.3">
      <c r="B14" s="418"/>
      <c r="C14" s="402" t="s">
        <v>4</v>
      </c>
      <c r="D14" s="403"/>
      <c r="E14" s="285">
        <f>VLOOKUP($Z$1,Distribuição!A:BD,9,FALSE)</f>
        <v>0</v>
      </c>
      <c r="F14" s="286"/>
      <c r="G14" s="287"/>
      <c r="H14" s="287"/>
      <c r="I14" s="69"/>
      <c r="J14" s="401"/>
      <c r="K14" s="401"/>
      <c r="L14" s="401"/>
      <c r="P14" s="94"/>
      <c r="Q14" s="94"/>
    </row>
    <row r="15" spans="1:26" ht="16.5" customHeight="1" x14ac:dyDescent="0.3">
      <c r="B15" s="418"/>
      <c r="C15" s="402" t="s">
        <v>5</v>
      </c>
      <c r="D15" s="403"/>
      <c r="E15" s="285">
        <f>VLOOKUP($Z$1,Distribuição!A:BD,10,FALSE)</f>
        <v>0</v>
      </c>
      <c r="F15" s="286"/>
      <c r="G15" s="287" t="s">
        <v>151</v>
      </c>
      <c r="H15" s="287"/>
      <c r="I15" s="69"/>
      <c r="J15" s="401"/>
      <c r="K15" s="401"/>
      <c r="L15" s="401"/>
    </row>
    <row r="16" spans="1:26" ht="16.5" customHeight="1" x14ac:dyDescent="0.3">
      <c r="B16" s="418"/>
      <c r="C16" s="402" t="s">
        <v>6</v>
      </c>
      <c r="D16" s="403"/>
      <c r="E16" s="285">
        <f>VLOOKUP($Z$1,Distribuição!A:BD,11,FALSE)</f>
        <v>0</v>
      </c>
      <c r="F16" s="286"/>
      <c r="G16" s="287"/>
      <c r="H16" s="287"/>
      <c r="I16" s="69"/>
      <c r="J16" s="401"/>
      <c r="K16" s="401"/>
      <c r="L16" s="401"/>
    </row>
    <row r="17" spans="1:12" ht="16.5" customHeight="1" x14ac:dyDescent="0.3">
      <c r="B17" s="418"/>
      <c r="C17" s="402" t="s">
        <v>7</v>
      </c>
      <c r="D17" s="403"/>
      <c r="E17" s="285">
        <f>VLOOKUP($Z$1,Distribuição!A:BD,12,FALSE)</f>
        <v>0</v>
      </c>
      <c r="F17" s="286"/>
      <c r="G17" s="287"/>
      <c r="H17" s="287"/>
      <c r="I17" s="69"/>
      <c r="J17" s="401"/>
      <c r="K17" s="401"/>
      <c r="L17" s="401"/>
    </row>
    <row r="18" spans="1:12" ht="16.5" customHeight="1" x14ac:dyDescent="0.3">
      <c r="B18" s="418"/>
      <c r="C18" s="402" t="s">
        <v>8</v>
      </c>
      <c r="D18" s="403"/>
      <c r="E18" s="285">
        <f>VLOOKUP($Z$1,Distribuição!A:BD,13,FALSE)</f>
        <v>0</v>
      </c>
      <c r="F18" s="286"/>
      <c r="G18" s="287"/>
      <c r="H18" s="287"/>
      <c r="I18" s="69"/>
      <c r="J18" s="401"/>
      <c r="K18" s="401"/>
      <c r="L18" s="401"/>
    </row>
    <row r="19" spans="1:12" ht="16.5" customHeight="1" x14ac:dyDescent="0.3">
      <c r="A19" s="397" t="s">
        <v>242</v>
      </c>
      <c r="B19" s="418"/>
      <c r="C19" s="402" t="s">
        <v>153</v>
      </c>
      <c r="D19" s="403"/>
      <c r="E19" s="285">
        <f>VLOOKUP($Z$1,Distribuição!A:BD,14,FALSE)</f>
        <v>0</v>
      </c>
      <c r="F19" s="286" t="s">
        <v>241</v>
      </c>
      <c r="G19" s="287"/>
      <c r="H19" s="287"/>
      <c r="I19" s="69"/>
      <c r="J19" s="401"/>
      <c r="K19" s="401"/>
      <c r="L19" s="401"/>
    </row>
    <row r="20" spans="1:12" ht="16.5" customHeight="1" x14ac:dyDescent="0.3">
      <c r="A20" s="397"/>
      <c r="B20" s="418"/>
      <c r="C20" s="402" t="s">
        <v>230</v>
      </c>
      <c r="D20" s="403"/>
      <c r="E20" s="285">
        <f>VLOOKUP($Z$1,Distribuição!A:BD,15,FALSE)</f>
        <v>0</v>
      </c>
      <c r="F20" s="351"/>
      <c r="G20" s="350"/>
      <c r="H20" s="350"/>
      <c r="I20" s="69"/>
      <c r="J20" s="401"/>
      <c r="K20" s="401"/>
      <c r="L20" s="401"/>
    </row>
    <row r="21" spans="1:12" ht="16.5" customHeight="1" x14ac:dyDescent="0.3">
      <c r="A21" s="397"/>
      <c r="B21" s="418"/>
      <c r="C21" s="402" t="s">
        <v>32</v>
      </c>
      <c r="D21" s="403"/>
      <c r="E21" s="285">
        <f>VLOOKUP($Z$1,Distribuição!A:BD,16,FALSE)</f>
        <v>0</v>
      </c>
      <c r="F21" s="286"/>
      <c r="G21" s="287"/>
      <c r="H21" s="287"/>
      <c r="I21" s="69"/>
      <c r="J21" s="401"/>
      <c r="K21" s="401"/>
      <c r="L21" s="401"/>
    </row>
    <row r="22" spans="1:12" ht="16.5" customHeight="1" x14ac:dyDescent="0.3">
      <c r="A22" s="397"/>
      <c r="B22" s="418"/>
      <c r="C22" s="402" t="s">
        <v>33</v>
      </c>
      <c r="D22" s="403"/>
      <c r="E22" s="285">
        <f>VLOOKUP($Z$1,Distribuição!A:BD,17,FALSE)</f>
        <v>0</v>
      </c>
      <c r="F22" s="286"/>
      <c r="G22" s="287"/>
      <c r="H22" s="287"/>
      <c r="I22" s="69"/>
      <c r="J22" s="401"/>
      <c r="K22" s="401"/>
      <c r="L22" s="401"/>
    </row>
    <row r="23" spans="1:12" ht="16.5" customHeight="1" x14ac:dyDescent="0.3">
      <c r="A23" s="397"/>
      <c r="B23" s="418"/>
      <c r="C23" s="402" t="s">
        <v>34</v>
      </c>
      <c r="D23" s="403"/>
      <c r="E23" s="285">
        <f>VLOOKUP($Z$1,Distribuição!A:BD,18,FALSE)</f>
        <v>0</v>
      </c>
      <c r="F23" s="286"/>
      <c r="G23" s="287"/>
      <c r="H23" s="287"/>
      <c r="I23" s="69"/>
      <c r="J23" s="401"/>
      <c r="K23" s="401"/>
      <c r="L23" s="401"/>
    </row>
    <row r="24" spans="1:12" ht="16.5" customHeight="1" x14ac:dyDescent="0.3">
      <c r="A24" s="397"/>
      <c r="B24" s="418"/>
      <c r="C24" s="402" t="s">
        <v>83</v>
      </c>
      <c r="D24" s="403"/>
      <c r="E24" s="285">
        <f>VLOOKUP($Z$1,Distribuição!A:BD,19,FALSE)</f>
        <v>0</v>
      </c>
      <c r="F24" s="286"/>
      <c r="G24" s="287"/>
      <c r="H24" s="287"/>
      <c r="I24" s="69"/>
      <c r="J24" s="401"/>
      <c r="K24" s="401"/>
      <c r="L24" s="401"/>
    </row>
    <row r="25" spans="1:12" ht="16.5" customHeight="1" x14ac:dyDescent="0.3">
      <c r="A25" s="397"/>
      <c r="B25" s="418"/>
      <c r="C25" s="402" t="s">
        <v>35</v>
      </c>
      <c r="D25" s="403"/>
      <c r="E25" s="285">
        <f>VLOOKUP($Z$1,Distribuição!A:BD,20,FALSE)</f>
        <v>0</v>
      </c>
      <c r="F25" s="286"/>
      <c r="G25" s="287"/>
      <c r="H25" s="287"/>
      <c r="I25" s="69"/>
      <c r="J25" s="401"/>
      <c r="K25" s="401"/>
      <c r="L25" s="401"/>
    </row>
    <row r="26" spans="1:12" ht="16.5" customHeight="1" x14ac:dyDescent="0.3">
      <c r="A26" s="397"/>
      <c r="B26" s="418"/>
      <c r="C26" s="402" t="s">
        <v>36</v>
      </c>
      <c r="D26" s="403"/>
      <c r="E26" s="285">
        <f>VLOOKUP($Z$1,Distribuição!A:BD,21,FALSE)</f>
        <v>0</v>
      </c>
      <c r="F26" s="286"/>
      <c r="G26" s="287"/>
      <c r="H26" s="287"/>
      <c r="I26" s="69"/>
      <c r="J26" s="401"/>
      <c r="K26" s="401"/>
      <c r="L26" s="401"/>
    </row>
    <row r="27" spans="1:12" ht="16.5" customHeight="1" x14ac:dyDescent="0.3">
      <c r="A27" s="397"/>
      <c r="B27" s="418"/>
      <c r="C27" s="402" t="s">
        <v>37</v>
      </c>
      <c r="D27" s="403"/>
      <c r="E27" s="285">
        <f>VLOOKUP($Z$1,Distribuição!A:BD,22,FALSE)</f>
        <v>0</v>
      </c>
      <c r="F27" s="286"/>
      <c r="G27" s="287"/>
      <c r="H27" s="287"/>
      <c r="I27" s="69"/>
      <c r="J27" s="401"/>
      <c r="K27" s="401"/>
      <c r="L27" s="401"/>
    </row>
    <row r="28" spans="1:12" ht="16.5" customHeight="1" x14ac:dyDescent="0.3">
      <c r="A28" s="397"/>
      <c r="B28" s="418"/>
      <c r="C28" s="402" t="s">
        <v>38</v>
      </c>
      <c r="D28" s="403"/>
      <c r="E28" s="285">
        <f>VLOOKUP($Z$1,Distribuição!A:BD,23,FALSE)</f>
        <v>0</v>
      </c>
      <c r="F28" s="286"/>
      <c r="G28" s="287"/>
      <c r="H28" s="287"/>
      <c r="I28" s="69"/>
      <c r="J28" s="401"/>
      <c r="K28" s="401"/>
      <c r="L28" s="401"/>
    </row>
    <row r="29" spans="1:12" ht="16.5" customHeight="1" x14ac:dyDescent="0.3">
      <c r="A29" s="397"/>
      <c r="B29" s="418"/>
      <c r="C29" s="402" t="s">
        <v>39</v>
      </c>
      <c r="D29" s="403"/>
      <c r="E29" s="285">
        <f>VLOOKUP($Z$1,Distribuição!A:BD,24,FALSE)</f>
        <v>0</v>
      </c>
      <c r="F29" s="286"/>
      <c r="G29" s="287"/>
      <c r="H29" s="287"/>
      <c r="I29" s="69"/>
      <c r="J29" s="401"/>
      <c r="K29" s="401"/>
      <c r="L29" s="401"/>
    </row>
    <row r="30" spans="1:12" ht="16.5" customHeight="1" x14ac:dyDescent="0.3">
      <c r="A30" s="397"/>
      <c r="B30" s="418"/>
      <c r="C30" s="402" t="s">
        <v>40</v>
      </c>
      <c r="D30" s="403"/>
      <c r="E30" s="285">
        <f>VLOOKUP($Z$1,Distribuição!A:BD,25,FALSE)</f>
        <v>0</v>
      </c>
      <c r="F30" s="286"/>
      <c r="G30" s="287"/>
      <c r="H30" s="287"/>
      <c r="I30" s="69"/>
      <c r="J30" s="401"/>
      <c r="K30" s="401"/>
      <c r="L30" s="401"/>
    </row>
    <row r="31" spans="1:12" ht="16.5" customHeight="1" thickBot="1" x14ac:dyDescent="0.35">
      <c r="A31" s="397"/>
      <c r="B31" s="214"/>
      <c r="C31" s="411" t="s">
        <v>130</v>
      </c>
      <c r="D31" s="412"/>
      <c r="E31" s="207">
        <f>VLOOKUP($Z$1,Distribuição!A:BD,26,FALSE)</f>
        <v>0</v>
      </c>
      <c r="F31" s="215"/>
      <c r="G31" s="216"/>
      <c r="H31" s="217"/>
      <c r="I31" s="218"/>
      <c r="J31" s="401"/>
      <c r="K31" s="401"/>
      <c r="L31" s="401"/>
    </row>
    <row r="32" spans="1:12" ht="16.5" customHeight="1" x14ac:dyDescent="0.3">
      <c r="A32" s="397"/>
      <c r="B32" s="317"/>
      <c r="C32" s="413" t="s">
        <v>127</v>
      </c>
      <c r="D32" s="414"/>
      <c r="E32" s="171">
        <f>VLOOKUP($Z$1,Distribuição!A:BD,27,FALSE)</f>
        <v>0</v>
      </c>
      <c r="F32" s="70"/>
      <c r="G32" s="277"/>
      <c r="H32" s="78"/>
      <c r="I32" s="79"/>
      <c r="J32" s="401"/>
      <c r="K32" s="401"/>
      <c r="L32" s="401"/>
    </row>
    <row r="33" spans="1:12" ht="16.5" customHeight="1" x14ac:dyDescent="0.3">
      <c r="A33" s="397"/>
      <c r="B33" s="318"/>
      <c r="C33" s="402" t="s">
        <v>24</v>
      </c>
      <c r="D33" s="403"/>
      <c r="E33" s="285">
        <f>VLOOKUP($Z$1,Distribuição!A:BD,28,FALSE)</f>
        <v>0</v>
      </c>
      <c r="F33" s="286"/>
      <c r="G33" s="287"/>
      <c r="H33" s="288"/>
      <c r="I33" s="75"/>
      <c r="J33" s="401"/>
      <c r="K33" s="401"/>
      <c r="L33" s="401"/>
    </row>
    <row r="34" spans="1:12" ht="16.5" customHeight="1" x14ac:dyDescent="0.3">
      <c r="A34" s="397"/>
      <c r="B34" s="318"/>
      <c r="C34" s="289" t="s">
        <v>213</v>
      </c>
      <c r="D34" s="290"/>
      <c r="E34" s="322">
        <f>VLOOKUP($Z$1,Distribuição!A:BL,29,FALSE)</f>
        <v>0</v>
      </c>
      <c r="F34" s="292"/>
      <c r="G34" s="293"/>
      <c r="H34" s="294"/>
      <c r="I34" s="295"/>
      <c r="J34" s="401"/>
      <c r="K34" s="401"/>
      <c r="L34" s="401"/>
    </row>
    <row r="35" spans="1:12" ht="16.5" customHeight="1" x14ac:dyDescent="0.3">
      <c r="A35" s="397"/>
      <c r="B35" s="318"/>
      <c r="C35" s="289" t="s">
        <v>220</v>
      </c>
      <c r="D35" s="290"/>
      <c r="E35" s="207">
        <v>0</v>
      </c>
      <c r="F35" s="292"/>
      <c r="G35" s="293"/>
      <c r="H35" s="294"/>
      <c r="I35" s="295"/>
      <c r="J35" s="401"/>
      <c r="K35" s="401"/>
      <c r="L35" s="401"/>
    </row>
    <row r="36" spans="1:12" ht="16.5" customHeight="1" thickBot="1" x14ac:dyDescent="0.35">
      <c r="A36" s="397"/>
      <c r="B36" s="214"/>
      <c r="C36" s="415" t="s">
        <v>72</v>
      </c>
      <c r="D36" s="416"/>
      <c r="E36" s="172">
        <f>VLOOKUP($Z$1,Distribuição!A:BL,29,FALSE)</f>
        <v>0</v>
      </c>
      <c r="F36" s="73"/>
      <c r="G36" s="279"/>
      <c r="H36" s="76"/>
      <c r="I36" s="77"/>
      <c r="J36" s="401"/>
      <c r="K36" s="401"/>
      <c r="L36" s="401"/>
    </row>
    <row r="37" spans="1:12" ht="16.5" customHeight="1" x14ac:dyDescent="0.3">
      <c r="A37" s="397"/>
      <c r="B37" s="418" t="s">
        <v>27</v>
      </c>
      <c r="C37" s="404" t="s">
        <v>147</v>
      </c>
      <c r="D37" s="405"/>
      <c r="E37" s="207">
        <f>VLOOKUP($Z$1,Distribuição!A:BD,30,FALSE)</f>
        <v>0</v>
      </c>
      <c r="F37" s="71"/>
      <c r="G37" s="276"/>
      <c r="H37" s="276"/>
      <c r="I37" s="72"/>
      <c r="J37" s="401"/>
      <c r="K37" s="401"/>
      <c r="L37" s="401"/>
    </row>
    <row r="38" spans="1:12" ht="16.5" customHeight="1" x14ac:dyDescent="0.3">
      <c r="A38" s="397"/>
      <c r="B38" s="418"/>
      <c r="C38" s="434" t="s">
        <v>146</v>
      </c>
      <c r="D38" s="435"/>
      <c r="E38" s="285">
        <f>VLOOKUP($Z$1,Distribuição!A:BD,31,FALSE)</f>
        <v>0</v>
      </c>
      <c r="F38" s="71"/>
      <c r="G38" s="276"/>
      <c r="H38" s="276"/>
      <c r="I38" s="72"/>
      <c r="J38" s="401"/>
      <c r="K38" s="401"/>
      <c r="L38" s="401"/>
    </row>
    <row r="39" spans="1:12" ht="16.5" customHeight="1" x14ac:dyDescent="0.3">
      <c r="A39" s="397"/>
      <c r="B39" s="418"/>
      <c r="C39" s="402" t="s">
        <v>148</v>
      </c>
      <c r="D39" s="403"/>
      <c r="E39" s="285">
        <f>VLOOKUP($Z$1,Distribuição!A:BD,32,FALSE)</f>
        <v>0</v>
      </c>
      <c r="F39" s="286"/>
      <c r="G39" s="287"/>
      <c r="H39" s="287"/>
      <c r="I39" s="69"/>
      <c r="J39" s="401"/>
      <c r="K39" s="401"/>
      <c r="L39" s="401"/>
    </row>
    <row r="40" spans="1:12" ht="16.5" customHeight="1" x14ac:dyDescent="0.3">
      <c r="A40" s="397"/>
      <c r="B40" s="418"/>
      <c r="C40" s="402" t="s">
        <v>11</v>
      </c>
      <c r="D40" s="403"/>
      <c r="E40" s="285">
        <f>VLOOKUP($Z$1,Distribuição!A:BD,33,FALSE)</f>
        <v>0</v>
      </c>
      <c r="F40" s="286"/>
      <c r="G40" s="287"/>
      <c r="H40" s="287"/>
      <c r="I40" s="69"/>
      <c r="J40" s="401"/>
      <c r="K40" s="401"/>
      <c r="L40" s="401"/>
    </row>
    <row r="41" spans="1:12" ht="16.5" customHeight="1" x14ac:dyDescent="0.3">
      <c r="A41" s="397"/>
      <c r="B41" s="418"/>
      <c r="C41" s="402" t="s">
        <v>12</v>
      </c>
      <c r="D41" s="403"/>
      <c r="E41" s="285">
        <f>VLOOKUP($Z$1,Distribuição!A:BD,34,FALSE)</f>
        <v>0</v>
      </c>
      <c r="F41" s="286"/>
      <c r="G41" s="287"/>
      <c r="H41" s="287"/>
      <c r="I41" s="69"/>
      <c r="J41" s="401"/>
      <c r="K41" s="401"/>
      <c r="L41" s="401"/>
    </row>
    <row r="42" spans="1:12" ht="20.25" customHeight="1" x14ac:dyDescent="0.3">
      <c r="A42" s="397"/>
      <c r="B42" s="418"/>
      <c r="C42" s="402" t="s">
        <v>13</v>
      </c>
      <c r="D42" s="403"/>
      <c r="E42" s="285">
        <f>VLOOKUP($Z$1,Distribuição!A:BD,35,FALSE)</f>
        <v>0</v>
      </c>
      <c r="F42" s="286"/>
      <c r="G42" s="287"/>
      <c r="H42" s="287"/>
      <c r="I42" s="69"/>
      <c r="J42" s="401"/>
      <c r="K42" s="401"/>
      <c r="L42" s="401"/>
    </row>
    <row r="43" spans="1:12" ht="16.5" customHeight="1" x14ac:dyDescent="0.3">
      <c r="A43" s="397"/>
      <c r="B43" s="418"/>
      <c r="C43" s="402" t="s">
        <v>14</v>
      </c>
      <c r="D43" s="403"/>
      <c r="E43" s="285">
        <f>VLOOKUP($Z$1,Distribuição!A:BD,36,FALSE)</f>
        <v>0</v>
      </c>
      <c r="F43" s="286"/>
      <c r="G43" s="287"/>
      <c r="H43" s="287"/>
      <c r="I43" s="69"/>
      <c r="J43" s="401"/>
      <c r="K43" s="401"/>
      <c r="L43" s="401"/>
    </row>
    <row r="44" spans="1:12" ht="16.5" customHeight="1" x14ac:dyDescent="0.3">
      <c r="A44" s="397"/>
      <c r="B44" s="418"/>
      <c r="C44" s="402" t="s">
        <v>15</v>
      </c>
      <c r="D44" s="403"/>
      <c r="E44" s="291">
        <f>VLOOKUP($Z$1,Distribuição!A:BD,37,FALSE)</f>
        <v>0</v>
      </c>
      <c r="F44" s="286"/>
      <c r="G44" s="287"/>
      <c r="H44" s="287"/>
      <c r="I44" s="69"/>
      <c r="J44" s="401"/>
      <c r="K44" s="401"/>
      <c r="L44" s="401"/>
    </row>
    <row r="45" spans="1:12" ht="16.5" hidden="1" customHeight="1" x14ac:dyDescent="0.3">
      <c r="A45" s="397"/>
      <c r="B45" s="418"/>
      <c r="C45" s="402" t="s">
        <v>16</v>
      </c>
      <c r="D45" s="410"/>
      <c r="E45" s="296" t="s">
        <v>129</v>
      </c>
      <c r="F45" s="297"/>
      <c r="G45" s="287"/>
      <c r="H45" s="287"/>
      <c r="I45" s="69"/>
      <c r="J45" s="401"/>
      <c r="K45" s="401"/>
      <c r="L45" s="401"/>
    </row>
    <row r="46" spans="1:12" ht="16.5" customHeight="1" x14ac:dyDescent="0.3">
      <c r="A46" s="397"/>
      <c r="B46" s="418"/>
      <c r="C46" s="402" t="s">
        <v>17</v>
      </c>
      <c r="D46" s="403"/>
      <c r="E46" s="285">
        <f>VLOOKUP($Z$1,Distribuição!A:BD,39,FALSE)</f>
        <v>0</v>
      </c>
      <c r="F46" s="286"/>
      <c r="G46" s="287"/>
      <c r="H46" s="287"/>
      <c r="I46" s="69"/>
      <c r="J46" s="401"/>
      <c r="K46" s="401"/>
      <c r="L46" s="401"/>
    </row>
    <row r="47" spans="1:12" ht="16.5" customHeight="1" x14ac:dyDescent="0.3">
      <c r="A47" s="397"/>
      <c r="B47" s="418"/>
      <c r="C47" s="402" t="s">
        <v>18</v>
      </c>
      <c r="D47" s="403"/>
      <c r="E47" s="285">
        <f>VLOOKUP($Z$1,Distribuição!A:BD,40,FALSE)</f>
        <v>0</v>
      </c>
      <c r="F47" s="286"/>
      <c r="G47" s="287"/>
      <c r="H47" s="287"/>
      <c r="I47" s="69"/>
      <c r="J47" s="401"/>
      <c r="K47" s="401"/>
      <c r="L47" s="401"/>
    </row>
    <row r="48" spans="1:12" ht="16.5" customHeight="1" x14ac:dyDescent="0.3">
      <c r="A48" s="397"/>
      <c r="B48" s="418"/>
      <c r="C48" s="402" t="s">
        <v>19</v>
      </c>
      <c r="D48" s="403"/>
      <c r="E48" s="285">
        <f>VLOOKUP($Z$1,Distribuição!A:BD,41,FALSE)</f>
        <v>0</v>
      </c>
      <c r="F48" s="286"/>
      <c r="G48" s="287"/>
      <c r="H48" s="287"/>
      <c r="I48" s="69"/>
      <c r="J48" s="401"/>
      <c r="K48" s="401"/>
      <c r="L48" s="401"/>
    </row>
    <row r="49" spans="1:12" ht="16.5" customHeight="1" x14ac:dyDescent="0.3">
      <c r="A49" s="397"/>
      <c r="B49" s="418"/>
      <c r="C49" s="436" t="s">
        <v>149</v>
      </c>
      <c r="D49" s="437"/>
      <c r="E49" s="285">
        <v>0</v>
      </c>
      <c r="F49" s="292"/>
      <c r="G49" s="293"/>
      <c r="H49" s="293"/>
      <c r="I49" s="298"/>
      <c r="J49" s="401"/>
      <c r="K49" s="401"/>
      <c r="L49" s="401"/>
    </row>
    <row r="50" spans="1:12" ht="16.5" customHeight="1" thickBot="1" x14ac:dyDescent="0.35">
      <c r="A50" s="397"/>
      <c r="B50" s="425"/>
      <c r="C50" s="415" t="s">
        <v>131</v>
      </c>
      <c r="D50" s="416"/>
      <c r="E50" s="184">
        <f>VLOOKUP($Z$1,Distribuição!A:BD,42,FALSE)</f>
        <v>0</v>
      </c>
      <c r="F50" s="73"/>
      <c r="G50" s="279"/>
      <c r="H50" s="279"/>
      <c r="I50" s="74"/>
      <c r="J50" s="401"/>
      <c r="K50" s="401"/>
      <c r="L50" s="401"/>
    </row>
    <row r="51" spans="1:12" s="24" customFormat="1" ht="16.5" customHeight="1" x14ac:dyDescent="0.3">
      <c r="A51" s="397"/>
      <c r="B51" s="440" t="s">
        <v>51</v>
      </c>
      <c r="C51" s="404" t="s">
        <v>20</v>
      </c>
      <c r="D51" s="405"/>
      <c r="E51" s="180">
        <f>VLOOKUP($Z$1,Distribuição!A:BD,42,FALSE)</f>
        <v>0</v>
      </c>
      <c r="F51" s="244"/>
      <c r="G51" s="183"/>
      <c r="H51" s="181"/>
      <c r="I51" s="182"/>
      <c r="J51" s="401"/>
      <c r="K51" s="401"/>
      <c r="L51" s="401"/>
    </row>
    <row r="52" spans="1:12" s="24" customFormat="1" ht="16.5" customHeight="1" x14ac:dyDescent="0.3">
      <c r="A52" s="397"/>
      <c r="B52" s="441"/>
      <c r="C52" s="402" t="s">
        <v>0</v>
      </c>
      <c r="D52" s="403"/>
      <c r="E52" s="285">
        <f>VLOOKUP($Z$1,Distribuição!A:BD,43,FALSE)</f>
        <v>0</v>
      </c>
      <c r="F52" s="286"/>
      <c r="G52" s="287"/>
      <c r="H52" s="287"/>
      <c r="I52" s="69"/>
      <c r="J52" s="401"/>
      <c r="K52" s="401"/>
      <c r="L52" s="401"/>
    </row>
    <row r="53" spans="1:12" s="24" customFormat="1" ht="16.5" customHeight="1" x14ac:dyDescent="0.3">
      <c r="A53" s="397"/>
      <c r="B53" s="441"/>
      <c r="C53" s="402" t="s">
        <v>1</v>
      </c>
      <c r="D53" s="403"/>
      <c r="E53" s="285">
        <f>VLOOKUP($Z$1,Distribuição!A:BD,44,FALSE)</f>
        <v>0</v>
      </c>
      <c r="F53" s="286"/>
      <c r="G53" s="287"/>
      <c r="H53" s="287"/>
      <c r="I53" s="69"/>
      <c r="J53" s="401"/>
      <c r="K53" s="401"/>
      <c r="L53" s="401"/>
    </row>
    <row r="54" spans="1:12" s="24" customFormat="1" ht="19.8" x14ac:dyDescent="0.3">
      <c r="A54" s="397"/>
      <c r="B54" s="441"/>
      <c r="C54" s="402" t="s">
        <v>41</v>
      </c>
      <c r="D54" s="403"/>
      <c r="E54" s="285">
        <f>VLOOKUP($Z$1,Distribuição!A:BD,45,FALSE)</f>
        <v>0</v>
      </c>
      <c r="F54" s="286"/>
      <c r="G54" s="287"/>
      <c r="H54" s="287"/>
      <c r="I54" s="69"/>
      <c r="J54" s="401"/>
      <c r="K54" s="401"/>
      <c r="L54" s="401"/>
    </row>
    <row r="55" spans="1:12" s="24" customFormat="1" ht="16.5" customHeight="1" x14ac:dyDescent="0.3">
      <c r="A55" s="397"/>
      <c r="B55" s="441"/>
      <c r="C55" s="438" t="s">
        <v>244</v>
      </c>
      <c r="D55" s="439"/>
      <c r="E55" s="285">
        <f>VLOOKUP($Z$1,Distribuição!A:BD,46,FALSE)</f>
        <v>0</v>
      </c>
      <c r="F55" s="286"/>
      <c r="G55" s="287"/>
      <c r="H55" s="287"/>
      <c r="I55" s="69"/>
      <c r="J55" s="401"/>
      <c r="K55" s="401"/>
      <c r="L55" s="401"/>
    </row>
    <row r="56" spans="1:12" s="24" customFormat="1" ht="16.5" hidden="1" customHeight="1" x14ac:dyDescent="0.3">
      <c r="A56" s="397"/>
      <c r="B56" s="441"/>
      <c r="C56" s="438" t="s">
        <v>106</v>
      </c>
      <c r="D56" s="439"/>
      <c r="E56" s="285">
        <f>VLOOKUP($Z$1,Distribuição!A:BD,47,FALSE)</f>
        <v>0</v>
      </c>
      <c r="F56" s="286"/>
      <c r="G56" s="287"/>
      <c r="H56" s="287"/>
      <c r="I56" s="69"/>
      <c r="J56" s="401"/>
      <c r="K56" s="401"/>
      <c r="L56" s="401"/>
    </row>
    <row r="57" spans="1:12" s="24" customFormat="1" ht="16.5" customHeight="1" x14ac:dyDescent="0.3">
      <c r="A57" s="397"/>
      <c r="B57" s="441"/>
      <c r="C57" s="438" t="s">
        <v>245</v>
      </c>
      <c r="D57" s="439"/>
      <c r="E57" s="285">
        <f>VLOOKUP($Z$1,Distribuição!A:BD,48,FALSE)</f>
        <v>0</v>
      </c>
      <c r="F57" s="286"/>
      <c r="G57" s="287"/>
      <c r="H57" s="287"/>
      <c r="I57" s="69"/>
      <c r="J57" s="401"/>
      <c r="K57" s="401"/>
      <c r="L57" s="401"/>
    </row>
    <row r="58" spans="1:12" s="24" customFormat="1" ht="16.5" customHeight="1" x14ac:dyDescent="0.3">
      <c r="A58" s="397"/>
      <c r="B58" s="441"/>
      <c r="C58" s="402" t="s">
        <v>2</v>
      </c>
      <c r="D58" s="403"/>
      <c r="E58" s="285">
        <f>VLOOKUP($Z$1,Distribuição!A:BD,49,FALSE)</f>
        <v>0</v>
      </c>
      <c r="F58" s="286"/>
      <c r="G58" s="287"/>
      <c r="H58" s="287"/>
      <c r="I58" s="69"/>
      <c r="J58" s="401"/>
      <c r="K58" s="401"/>
      <c r="L58" s="401"/>
    </row>
    <row r="59" spans="1:12" s="24" customFormat="1" ht="16.5" customHeight="1" x14ac:dyDescent="0.3">
      <c r="A59" s="397"/>
      <c r="B59" s="441"/>
      <c r="C59" s="278" t="s">
        <v>50</v>
      </c>
      <c r="D59" s="299"/>
      <c r="E59" s="285">
        <f>VLOOKUP($Z$1,Distribuição!A:BD,50,FALSE)</f>
        <v>0</v>
      </c>
      <c r="F59" s="286"/>
      <c r="G59" s="287"/>
      <c r="H59" s="287"/>
      <c r="I59" s="69"/>
      <c r="J59" s="401"/>
      <c r="K59" s="401"/>
      <c r="L59" s="401"/>
    </row>
    <row r="60" spans="1:12" s="24" customFormat="1" ht="16.5" customHeight="1" x14ac:dyDescent="0.3">
      <c r="A60" s="397"/>
      <c r="B60" s="441"/>
      <c r="C60" s="278" t="s">
        <v>212</v>
      </c>
      <c r="D60" s="299"/>
      <c r="E60" s="285">
        <f>VLOOKUP($Z$1,Distribuição!A:BD,51,FALSE)</f>
        <v>0</v>
      </c>
      <c r="F60" s="286"/>
      <c r="G60" s="287"/>
      <c r="H60" s="287"/>
      <c r="I60" s="69"/>
      <c r="J60" s="401"/>
      <c r="K60" s="401"/>
      <c r="L60" s="401"/>
    </row>
    <row r="61" spans="1:12" ht="16.5" customHeight="1" x14ac:dyDescent="0.3">
      <c r="A61" s="397"/>
      <c r="B61" s="441"/>
      <c r="C61" s="402" t="s">
        <v>21</v>
      </c>
      <c r="D61" s="403"/>
      <c r="E61" s="285">
        <f>VLOOKUP($Z$1,Distribuição!A:BD,52,FALSE)</f>
        <v>0</v>
      </c>
      <c r="F61" s="286"/>
      <c r="G61" s="287"/>
      <c r="H61" s="288"/>
      <c r="I61" s="75"/>
      <c r="J61" s="401"/>
      <c r="K61" s="401"/>
      <c r="L61" s="401"/>
    </row>
    <row r="62" spans="1:12" ht="16.5" customHeight="1" thickBot="1" x14ac:dyDescent="0.35">
      <c r="A62" s="397"/>
      <c r="B62" s="442"/>
      <c r="C62" s="443" t="s">
        <v>145</v>
      </c>
      <c r="D62" s="444"/>
      <c r="E62" s="291">
        <f>VLOOKUP($Z$1,Distribuição!A:BD,53,FALSE)</f>
        <v>0</v>
      </c>
      <c r="F62" s="292"/>
      <c r="G62" s="293"/>
      <c r="H62" s="294"/>
      <c r="I62" s="295"/>
      <c r="J62" s="401"/>
      <c r="K62" s="401"/>
      <c r="L62" s="401"/>
    </row>
    <row r="63" spans="1:12" ht="16.5" customHeight="1" x14ac:dyDescent="0.3">
      <c r="A63" s="368"/>
      <c r="B63" s="317"/>
      <c r="C63" s="413" t="s">
        <v>23</v>
      </c>
      <c r="D63" s="414"/>
      <c r="E63" s="171">
        <f>VLOOKUP($Z$1,Distribuição!A:BD,54,FALSE)</f>
        <v>0</v>
      </c>
      <c r="F63" s="70"/>
      <c r="G63" s="277"/>
      <c r="H63" s="78"/>
      <c r="I63" s="79"/>
      <c r="J63" s="401"/>
      <c r="K63" s="401"/>
      <c r="L63" s="401"/>
    </row>
    <row r="64" spans="1:12" ht="16.5" customHeight="1" x14ac:dyDescent="0.3">
      <c r="B64" s="318"/>
      <c r="C64" s="436" t="s">
        <v>107</v>
      </c>
      <c r="D64" s="437"/>
      <c r="E64" s="180">
        <f>VLOOKUP($Z$1,Distribuição!A:BD,55,FALSE)</f>
        <v>0</v>
      </c>
      <c r="F64" s="286"/>
      <c r="G64" s="287"/>
      <c r="H64" s="288"/>
      <c r="I64" s="75"/>
      <c r="J64" s="401"/>
      <c r="K64" s="401"/>
      <c r="L64" s="401"/>
    </row>
    <row r="65" spans="1:12" ht="16.5" hidden="1" customHeight="1" x14ac:dyDescent="0.3">
      <c r="B65" s="318"/>
      <c r="C65" s="402"/>
      <c r="D65" s="403"/>
      <c r="E65" s="285"/>
      <c r="F65" s="286"/>
      <c r="G65" s="287"/>
      <c r="H65" s="288"/>
      <c r="I65" s="75"/>
      <c r="J65" s="401"/>
      <c r="K65" s="401"/>
      <c r="L65" s="401"/>
    </row>
    <row r="66" spans="1:12" ht="16.5" customHeight="1" x14ac:dyDescent="0.3">
      <c r="B66" s="318"/>
      <c r="C66" s="402" t="s">
        <v>25</v>
      </c>
      <c r="D66" s="403"/>
      <c r="E66" s="285">
        <f>VLOOKUP($Z$1,Distribuição!A:BL,57,FALSE)</f>
        <v>0</v>
      </c>
      <c r="F66" s="286"/>
      <c r="G66" s="287"/>
      <c r="H66" s="288"/>
      <c r="I66" s="75"/>
      <c r="J66" s="401"/>
      <c r="K66" s="401"/>
      <c r="L66" s="401"/>
    </row>
    <row r="67" spans="1:12" ht="16.5" customHeight="1" thickBot="1" x14ac:dyDescent="0.35">
      <c r="B67" s="214"/>
      <c r="C67" s="450" t="s">
        <v>128</v>
      </c>
      <c r="D67" s="451"/>
      <c r="E67" s="172">
        <f>VLOOKUP($Z$1,Distribuição!A:BL,57,FALSE)+1</f>
        <v>1</v>
      </c>
      <c r="F67" s="73"/>
      <c r="G67" s="279"/>
      <c r="H67" s="76"/>
      <c r="I67" s="77"/>
      <c r="J67" s="401"/>
      <c r="K67" s="401"/>
      <c r="L67" s="401"/>
    </row>
    <row r="68" spans="1:12" s="24" customFormat="1" ht="19.5" hidden="1" customHeight="1" x14ac:dyDescent="0.4">
      <c r="A68" s="316"/>
      <c r="B68" s="452" t="s">
        <v>48</v>
      </c>
      <c r="C68" s="455" t="s">
        <v>56</v>
      </c>
      <c r="D68" s="456"/>
      <c r="E68" s="208">
        <f>VLOOKUP($Z$1,Distribuição!A:BM,57,FALSE)</f>
        <v>0</v>
      </c>
      <c r="F68" s="209"/>
      <c r="G68" s="210"/>
      <c r="H68" s="211"/>
      <c r="I68" s="319"/>
      <c r="J68" s="300"/>
      <c r="K68" s="301"/>
      <c r="L68" s="301"/>
    </row>
    <row r="69" spans="1:12" ht="19.8" hidden="1" x14ac:dyDescent="0.4">
      <c r="B69" s="453"/>
      <c r="C69" s="448" t="s">
        <v>57</v>
      </c>
      <c r="D69" s="449"/>
      <c r="E69" s="302">
        <f>VLOOKUP($Z$1,Distribuição!A:BM,58,FALSE)</f>
        <v>0</v>
      </c>
      <c r="F69" s="303"/>
      <c r="G69" s="304"/>
      <c r="H69" s="305"/>
      <c r="I69" s="320"/>
      <c r="J69" s="281"/>
      <c r="K69" s="21"/>
      <c r="L69" s="21"/>
    </row>
    <row r="70" spans="1:12" ht="19.8" hidden="1" x14ac:dyDescent="0.4">
      <c r="B70" s="453"/>
      <c r="C70" s="448" t="s">
        <v>58</v>
      </c>
      <c r="D70" s="449"/>
      <c r="E70" s="302">
        <f>VLOOKUP($Z$1,Distribuição!A:BM,59,FALSE)</f>
        <v>0</v>
      </c>
      <c r="F70" s="303"/>
      <c r="G70" s="304"/>
      <c r="H70" s="305"/>
      <c r="I70" s="320"/>
      <c r="J70" s="281"/>
      <c r="K70" s="21"/>
      <c r="L70" s="21"/>
    </row>
    <row r="71" spans="1:12" ht="19.8" hidden="1" x14ac:dyDescent="0.4">
      <c r="B71" s="453"/>
      <c r="C71" s="448" t="s">
        <v>59</v>
      </c>
      <c r="D71" s="449"/>
      <c r="E71" s="302">
        <f>VLOOKUP($Z$1,Distribuição!A:BM,60,FALSE)</f>
        <v>0</v>
      </c>
      <c r="F71" s="303"/>
      <c r="G71" s="304"/>
      <c r="H71" s="305"/>
      <c r="I71" s="320"/>
      <c r="J71" s="281"/>
      <c r="K71" s="21"/>
      <c r="L71" s="21"/>
    </row>
    <row r="72" spans="1:12" ht="19.8" hidden="1" x14ac:dyDescent="0.4">
      <c r="B72" s="453"/>
      <c r="C72" s="448" t="s">
        <v>60</v>
      </c>
      <c r="D72" s="449"/>
      <c r="E72" s="302">
        <f>VLOOKUP($Z$1,Distribuição!A:BM,61,FALSE)</f>
        <v>0</v>
      </c>
      <c r="F72" s="303"/>
      <c r="G72" s="304"/>
      <c r="H72" s="305"/>
      <c r="I72" s="320"/>
      <c r="J72" s="281"/>
      <c r="K72" s="21"/>
      <c r="L72" s="21"/>
    </row>
    <row r="73" spans="1:12" ht="19.8" hidden="1" x14ac:dyDescent="0.4">
      <c r="B73" s="453"/>
      <c r="C73" s="448" t="s">
        <v>61</v>
      </c>
      <c r="D73" s="449"/>
      <c r="E73" s="302">
        <f>VLOOKUP($Z$1,Distribuição!A:BM,62,FALSE)</f>
        <v>0</v>
      </c>
      <c r="F73" s="303"/>
      <c r="G73" s="304"/>
      <c r="H73" s="305"/>
      <c r="I73" s="320"/>
      <c r="J73" s="281"/>
      <c r="K73" s="21"/>
      <c r="L73" s="21"/>
    </row>
    <row r="74" spans="1:12" ht="20.399999999999999" hidden="1" thickBot="1" x14ac:dyDescent="0.45">
      <c r="B74" s="454"/>
      <c r="C74" s="446" t="s">
        <v>62</v>
      </c>
      <c r="D74" s="447"/>
      <c r="E74" s="167">
        <f>VLOOKUP($Z$1,Distribuição!A:BM,60,FALSE)</f>
        <v>0</v>
      </c>
      <c r="F74" s="80"/>
      <c r="G74" s="81"/>
      <c r="H74" s="82"/>
      <c r="I74" s="321"/>
      <c r="J74" s="281"/>
      <c r="K74" s="21"/>
      <c r="L74" s="21"/>
    </row>
    <row r="75" spans="1:12" ht="15" thickBot="1" x14ac:dyDescent="0.35">
      <c r="B75" s="95"/>
      <c r="C75" s="306"/>
      <c r="D75" s="23"/>
      <c r="E75" s="307"/>
      <c r="F75" s="306"/>
      <c r="G75" s="306"/>
      <c r="H75" s="23"/>
      <c r="I75" s="281"/>
      <c r="J75" s="281"/>
      <c r="K75" s="21"/>
      <c r="L75" s="21"/>
    </row>
    <row r="76" spans="1:12" ht="18.600000000000001" thickBot="1" x14ac:dyDescent="0.4">
      <c r="B76" s="95"/>
      <c r="C76" s="445" t="s">
        <v>49</v>
      </c>
      <c r="D76" s="445"/>
      <c r="E76" s="169"/>
      <c r="F76" s="306"/>
      <c r="G76" s="283"/>
      <c r="H76" s="283"/>
      <c r="I76" s="283"/>
      <c r="J76" s="282"/>
      <c r="K76" s="21"/>
      <c r="L76" s="21"/>
    </row>
    <row r="77" spans="1:12" ht="18" x14ac:dyDescent="0.35">
      <c r="B77" s="95"/>
      <c r="C77" s="213"/>
      <c r="D77" s="213"/>
      <c r="E77" s="170"/>
      <c r="F77" s="306"/>
      <c r="G77" s="399" t="s">
        <v>214</v>
      </c>
      <c r="H77" s="399"/>
      <c r="I77" s="282"/>
      <c r="J77" s="282"/>
      <c r="K77" s="21"/>
      <c r="L77" s="21"/>
    </row>
    <row r="78" spans="1:12" ht="18" x14ac:dyDescent="0.35">
      <c r="B78" s="95"/>
      <c r="C78" s="213"/>
      <c r="D78" s="213"/>
      <c r="E78" s="170"/>
      <c r="F78" s="306"/>
      <c r="G78" s="306"/>
      <c r="H78" s="23"/>
      <c r="I78" s="281"/>
      <c r="J78" s="281"/>
      <c r="K78" s="21"/>
      <c r="L78" s="21"/>
    </row>
    <row r="79" spans="1:12" ht="18.75" customHeight="1" x14ac:dyDescent="0.3">
      <c r="B79" s="308" t="s">
        <v>109</v>
      </c>
      <c r="C79" s="308"/>
      <c r="D79" s="83"/>
      <c r="E79" s="163"/>
      <c r="F79" s="309"/>
      <c r="G79" s="310" t="s">
        <v>216</v>
      </c>
      <c r="H79" s="310"/>
      <c r="I79" s="310"/>
      <c r="J79" s="281"/>
      <c r="K79" s="21"/>
      <c r="L79" s="21"/>
    </row>
    <row r="80" spans="1:12" x14ac:dyDescent="0.3">
      <c r="B80" s="315" t="s">
        <v>108</v>
      </c>
      <c r="C80" s="83"/>
      <c r="D80" s="83"/>
      <c r="E80" s="163"/>
      <c r="F80" s="309"/>
      <c r="G80" s="309"/>
      <c r="H80" s="311"/>
      <c r="I80" s="312"/>
      <c r="J80" s="281"/>
      <c r="K80" s="21"/>
      <c r="L80" s="21"/>
    </row>
  </sheetData>
  <mergeCells count="81">
    <mergeCell ref="B68:B74"/>
    <mergeCell ref="C68:D68"/>
    <mergeCell ref="C69:D69"/>
    <mergeCell ref="C70:D70"/>
    <mergeCell ref="C71:D71"/>
    <mergeCell ref="C76:D76"/>
    <mergeCell ref="C74:D74"/>
    <mergeCell ref="C73:D73"/>
    <mergeCell ref="C72:D72"/>
    <mergeCell ref="C58:D58"/>
    <mergeCell ref="C65:D65"/>
    <mergeCell ref="C67:D67"/>
    <mergeCell ref="C66:D66"/>
    <mergeCell ref="C63:D63"/>
    <mergeCell ref="C64:D64"/>
    <mergeCell ref="C55:D55"/>
    <mergeCell ref="C56:D56"/>
    <mergeCell ref="C57:D57"/>
    <mergeCell ref="C61:D61"/>
    <mergeCell ref="B51:B62"/>
    <mergeCell ref="C53:D53"/>
    <mergeCell ref="C54:D54"/>
    <mergeCell ref="C62:D62"/>
    <mergeCell ref="C44:D44"/>
    <mergeCell ref="C49:D49"/>
    <mergeCell ref="C46:D46"/>
    <mergeCell ref="C47:D47"/>
    <mergeCell ref="C48:D48"/>
    <mergeCell ref="B9:B10"/>
    <mergeCell ref="C9:D10"/>
    <mergeCell ref="B37:B50"/>
    <mergeCell ref="C50:D50"/>
    <mergeCell ref="C5:I5"/>
    <mergeCell ref="G9:H9"/>
    <mergeCell ref="G7:I7"/>
    <mergeCell ref="C7:E7"/>
    <mergeCell ref="C19:D19"/>
    <mergeCell ref="C15:D15"/>
    <mergeCell ref="C16:D16"/>
    <mergeCell ref="I9:I10"/>
    <mergeCell ref="C18:D18"/>
    <mergeCell ref="C25:D25"/>
    <mergeCell ref="C39:D39"/>
    <mergeCell ref="C38:D38"/>
    <mergeCell ref="C43:D43"/>
    <mergeCell ref="B11:B30"/>
    <mergeCell ref="C26:D26"/>
    <mergeCell ref="C27:D27"/>
    <mergeCell ref="C28:D28"/>
    <mergeCell ref="C29:D29"/>
    <mergeCell ref="C30:D30"/>
    <mergeCell ref="C11:D11"/>
    <mergeCell ref="C12:D12"/>
    <mergeCell ref="C13:D13"/>
    <mergeCell ref="C14:D14"/>
    <mergeCell ref="C21:D21"/>
    <mergeCell ref="C22:D22"/>
    <mergeCell ref="C23:D23"/>
    <mergeCell ref="C24:D24"/>
    <mergeCell ref="C20:D20"/>
    <mergeCell ref="C32:D32"/>
    <mergeCell ref="C37:D37"/>
    <mergeCell ref="C36:D36"/>
    <mergeCell ref="C41:D41"/>
    <mergeCell ref="C42:D42"/>
    <mergeCell ref="A19:A62"/>
    <mergeCell ref="D1:G1"/>
    <mergeCell ref="G77:H77"/>
    <mergeCell ref="J7:L7"/>
    <mergeCell ref="J9:J67"/>
    <mergeCell ref="K9:K67"/>
    <mergeCell ref="L9:L67"/>
    <mergeCell ref="C17:D17"/>
    <mergeCell ref="C52:D52"/>
    <mergeCell ref="C51:D51"/>
    <mergeCell ref="E9:E10"/>
    <mergeCell ref="F9:F10"/>
    <mergeCell ref="C40:D40"/>
    <mergeCell ref="C45:D45"/>
    <mergeCell ref="C33:D33"/>
    <mergeCell ref="C31:D31"/>
  </mergeCells>
  <pageMargins left="0.51181102362204722" right="0.51181102362204722" top="0.78740157480314965" bottom="0.78740157480314965" header="0.31496062992125984" footer="0.31496062992125984"/>
  <pageSetup paperSize="9" scale="63" orientation="portrait" horizontalDpi="360" verticalDpi="360" r:id="rId1"/>
  <ignoredErrors>
    <ignoredError sqref="E46:E48 E65 E50:E64 E66:E6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J43"/>
  <sheetViews>
    <sheetView zoomScale="98" zoomScaleNormal="98" workbookViewId="0">
      <selection activeCell="M7" sqref="M7"/>
    </sheetView>
  </sheetViews>
  <sheetFormatPr defaultColWidth="9.109375" defaultRowHeight="14.4" x14ac:dyDescent="0.3"/>
  <cols>
    <col min="1" max="1" width="3.33203125" style="1" customWidth="1"/>
    <col min="2" max="2" width="11.44140625" style="1" customWidth="1"/>
    <col min="3" max="3" width="15.6640625" style="1" customWidth="1"/>
    <col min="4" max="4" width="18" style="1" customWidth="1"/>
    <col min="5" max="7" width="15.6640625" style="1" customWidth="1"/>
    <col min="8" max="8" width="4.33203125" style="1" customWidth="1"/>
    <col min="9" max="9" width="9.109375" style="1"/>
    <col min="10" max="10" width="12.5546875" style="1" customWidth="1"/>
    <col min="11" max="11" width="9.109375" style="1"/>
    <col min="12" max="12" width="12.33203125" style="1" bestFit="1" customWidth="1"/>
    <col min="13" max="16384" width="9.109375" style="1"/>
  </cols>
  <sheetData>
    <row r="1" spans="1:10" x14ac:dyDescent="0.3">
      <c r="A1" s="108"/>
      <c r="B1" s="109"/>
      <c r="C1" s="109"/>
      <c r="D1" s="109"/>
      <c r="E1" s="109"/>
      <c r="F1" s="109"/>
      <c r="G1" s="109"/>
      <c r="H1" s="110"/>
      <c r="J1" s="1" t="str">
        <f>CONCATENATE(C4,E4)</f>
        <v/>
      </c>
    </row>
    <row r="2" spans="1:10" ht="50.1" customHeight="1" x14ac:dyDescent="0.3">
      <c r="A2" s="111"/>
      <c r="B2" s="95"/>
      <c r="C2" s="14" t="s">
        <v>42</v>
      </c>
      <c r="D2" s="99"/>
      <c r="E2" s="458" t="s">
        <v>91</v>
      </c>
      <c r="F2" s="458"/>
      <c r="G2" s="458"/>
      <c r="H2" s="112"/>
    </row>
    <row r="3" spans="1:10" ht="9.9" customHeight="1" x14ac:dyDescent="0.3">
      <c r="A3" s="111"/>
      <c r="B3" s="116"/>
      <c r="C3" s="22"/>
      <c r="D3" s="22"/>
      <c r="E3" s="22" t="s">
        <v>126</v>
      </c>
      <c r="F3" s="22"/>
      <c r="G3" s="22"/>
      <c r="H3" s="112"/>
    </row>
    <row r="4" spans="1:10" ht="24.9" customHeight="1" x14ac:dyDescent="0.3">
      <c r="A4" s="111"/>
      <c r="B4" s="96" t="s">
        <v>53</v>
      </c>
      <c r="C4" s="243"/>
      <c r="D4" s="242"/>
      <c r="E4" s="185"/>
      <c r="F4" s="200" t="s">
        <v>28</v>
      </c>
      <c r="G4" s="178"/>
      <c r="H4" s="112"/>
    </row>
    <row r="5" spans="1:10" ht="9.9" customHeight="1" x14ac:dyDescent="0.3">
      <c r="A5" s="111"/>
      <c r="B5" s="117"/>
      <c r="C5" s="63"/>
      <c r="D5" s="64"/>
      <c r="E5" s="64" t="s">
        <v>246</v>
      </c>
      <c r="F5" s="65"/>
      <c r="G5" s="66"/>
      <c r="H5" s="112"/>
    </row>
    <row r="6" spans="1:10" ht="24.9" customHeight="1" x14ac:dyDescent="0.3">
      <c r="A6" s="111"/>
      <c r="B6" s="96" t="s">
        <v>52</v>
      </c>
      <c r="C6" s="463"/>
      <c r="D6" s="464"/>
      <c r="E6" s="464"/>
      <c r="F6" s="464"/>
      <c r="G6" s="465"/>
      <c r="H6" s="112"/>
    </row>
    <row r="7" spans="1:10" ht="9" customHeight="1" x14ac:dyDescent="0.3">
      <c r="A7" s="111"/>
      <c r="B7" s="97"/>
      <c r="C7" s="205"/>
      <c r="D7" s="206"/>
      <c r="E7" s="206"/>
      <c r="F7" s="206"/>
      <c r="G7" s="206"/>
      <c r="H7" s="112"/>
    </row>
    <row r="8" spans="1:10" ht="24.9" customHeight="1" x14ac:dyDescent="0.3">
      <c r="A8" s="111"/>
      <c r="B8" s="96" t="s">
        <v>54</v>
      </c>
      <c r="C8" s="459"/>
      <c r="D8" s="460"/>
      <c r="E8" s="201" t="s">
        <v>126</v>
      </c>
      <c r="F8" s="461"/>
      <c r="G8" s="462"/>
      <c r="H8" s="118"/>
    </row>
    <row r="9" spans="1:10" ht="9.9" customHeight="1" x14ac:dyDescent="0.3">
      <c r="A9" s="111"/>
      <c r="B9" s="94"/>
      <c r="C9" s="94"/>
      <c r="D9" s="94"/>
      <c r="E9" s="94"/>
      <c r="F9" s="94"/>
      <c r="G9" s="94"/>
      <c r="H9" s="112"/>
    </row>
    <row r="10" spans="1:10" ht="24.9" customHeight="1" x14ac:dyDescent="0.3">
      <c r="A10" s="111"/>
      <c r="B10" s="96" t="s">
        <v>112</v>
      </c>
      <c r="C10" s="96"/>
      <c r="D10" s="174"/>
      <c r="E10" s="466" t="s">
        <v>111</v>
      </c>
      <c r="F10" s="467"/>
      <c r="G10" s="174"/>
      <c r="H10" s="118"/>
    </row>
    <row r="11" spans="1:10" ht="9.9" customHeight="1" x14ac:dyDescent="0.3">
      <c r="A11" s="111"/>
      <c r="B11" s="159"/>
      <c r="C11" s="159"/>
      <c r="D11" s="179"/>
      <c r="E11" s="160"/>
      <c r="F11" s="160"/>
      <c r="G11" s="161"/>
      <c r="H11" s="118"/>
    </row>
    <row r="12" spans="1:10" ht="24.9" customHeight="1" x14ac:dyDescent="0.3">
      <c r="A12" s="111"/>
      <c r="B12" s="467" t="s">
        <v>114</v>
      </c>
      <c r="C12" s="467"/>
      <c r="D12" s="174"/>
      <c r="E12" s="467" t="s">
        <v>152</v>
      </c>
      <c r="F12" s="467"/>
      <c r="G12" s="174"/>
      <c r="H12" s="118"/>
    </row>
    <row r="13" spans="1:10" ht="24.9" customHeight="1" x14ac:dyDescent="0.3">
      <c r="A13" s="111"/>
      <c r="B13" s="173"/>
      <c r="C13" s="173"/>
      <c r="D13" s="175"/>
      <c r="E13" s="175"/>
      <c r="F13" s="175"/>
      <c r="G13" s="175"/>
      <c r="H13" s="118"/>
    </row>
    <row r="14" spans="1:10" ht="24.9" customHeight="1" x14ac:dyDescent="0.3">
      <c r="A14" s="111"/>
      <c r="B14" s="467" t="s">
        <v>113</v>
      </c>
      <c r="C14" s="467"/>
      <c r="D14" s="431"/>
      <c r="E14" s="468"/>
      <c r="F14" s="468"/>
      <c r="G14" s="469"/>
      <c r="H14" s="118"/>
    </row>
    <row r="15" spans="1:10" ht="18.75" customHeight="1" x14ac:dyDescent="0.3">
      <c r="A15" s="111"/>
      <c r="B15" s="457" t="s">
        <v>95</v>
      </c>
      <c r="C15" s="457"/>
      <c r="D15" s="457"/>
      <c r="E15" s="457"/>
      <c r="F15" s="457"/>
      <c r="G15" s="457"/>
      <c r="H15" s="112"/>
    </row>
    <row r="16" spans="1:10" ht="24.9" customHeight="1" x14ac:dyDescent="0.3">
      <c r="A16" s="111"/>
      <c r="B16" s="457"/>
      <c r="C16" s="457"/>
      <c r="D16" s="457"/>
      <c r="E16" s="457"/>
      <c r="F16" s="457"/>
      <c r="G16" s="457"/>
      <c r="H16" s="118"/>
    </row>
    <row r="17" spans="1:8" ht="15" customHeight="1" x14ac:dyDescent="0.3">
      <c r="A17" s="111"/>
      <c r="B17" s="457"/>
      <c r="C17" s="457"/>
      <c r="D17" s="457"/>
      <c r="E17" s="457"/>
      <c r="F17" s="457"/>
      <c r="G17" s="457"/>
      <c r="H17" s="112"/>
    </row>
    <row r="18" spans="1:8" ht="15" customHeight="1" x14ac:dyDescent="0.3">
      <c r="A18" s="111"/>
      <c r="B18" s="457"/>
      <c r="C18" s="457"/>
      <c r="D18" s="457"/>
      <c r="E18" s="457"/>
      <c r="F18" s="457"/>
      <c r="G18" s="457"/>
      <c r="H18" s="112"/>
    </row>
    <row r="19" spans="1:8" ht="15" customHeight="1" x14ac:dyDescent="0.3">
      <c r="A19" s="111"/>
      <c r="B19" s="457"/>
      <c r="C19" s="457"/>
      <c r="D19" s="457"/>
      <c r="E19" s="457"/>
      <c r="F19" s="457"/>
      <c r="G19" s="457"/>
      <c r="H19" s="112"/>
    </row>
    <row r="20" spans="1:8" ht="15" customHeight="1" x14ac:dyDescent="0.3">
      <c r="A20" s="111"/>
      <c r="B20" s="457"/>
      <c r="C20" s="457"/>
      <c r="D20" s="457"/>
      <c r="E20" s="457"/>
      <c r="F20" s="457"/>
      <c r="G20" s="457"/>
      <c r="H20" s="112"/>
    </row>
    <row r="21" spans="1:8" ht="15" customHeight="1" x14ac:dyDescent="0.3">
      <c r="A21" s="111"/>
      <c r="B21" s="457"/>
      <c r="C21" s="457"/>
      <c r="D21" s="457"/>
      <c r="E21" s="457"/>
      <c r="F21" s="457"/>
      <c r="G21" s="457"/>
      <c r="H21" s="112"/>
    </row>
    <row r="22" spans="1:8" ht="15" customHeight="1" x14ac:dyDescent="0.3">
      <c r="A22" s="111"/>
      <c r="B22" s="457"/>
      <c r="C22" s="457"/>
      <c r="D22" s="457"/>
      <c r="E22" s="457"/>
      <c r="F22" s="457"/>
      <c r="G22" s="457"/>
      <c r="H22" s="112"/>
    </row>
    <row r="23" spans="1:8" ht="15" customHeight="1" x14ac:dyDescent="0.3">
      <c r="A23" s="111"/>
      <c r="B23" s="457"/>
      <c r="C23" s="457"/>
      <c r="D23" s="457"/>
      <c r="E23" s="457"/>
      <c r="F23" s="457"/>
      <c r="G23" s="457"/>
      <c r="H23" s="112"/>
    </row>
    <row r="24" spans="1:8" ht="15" customHeight="1" x14ac:dyDescent="0.3">
      <c r="A24" s="111"/>
      <c r="B24" s="457"/>
      <c r="C24" s="457"/>
      <c r="D24" s="457"/>
      <c r="E24" s="457"/>
      <c r="F24" s="457"/>
      <c r="G24" s="457"/>
      <c r="H24" s="112"/>
    </row>
    <row r="25" spans="1:8" ht="15" customHeight="1" x14ac:dyDescent="0.3">
      <c r="A25" s="111"/>
      <c r="B25" s="457"/>
      <c r="C25" s="457"/>
      <c r="D25" s="457"/>
      <c r="E25" s="457"/>
      <c r="F25" s="457"/>
      <c r="G25" s="457"/>
      <c r="H25" s="112"/>
    </row>
    <row r="26" spans="1:8" ht="15" thickBot="1" x14ac:dyDescent="0.35">
      <c r="A26" s="111"/>
      <c r="B26" s="94"/>
      <c r="C26" s="94"/>
      <c r="D26" s="94"/>
      <c r="E26" s="94"/>
      <c r="F26" s="94"/>
      <c r="G26" s="94"/>
      <c r="H26" s="112"/>
    </row>
    <row r="27" spans="1:8" ht="24.9" customHeight="1" thickBot="1" x14ac:dyDescent="0.45">
      <c r="A27" s="111"/>
      <c r="B27" s="98" t="s">
        <v>26</v>
      </c>
      <c r="C27" s="98"/>
      <c r="D27" s="98"/>
      <c r="E27" s="98"/>
      <c r="F27" s="202"/>
      <c r="G27" s="231"/>
      <c r="H27" s="112"/>
    </row>
    <row r="28" spans="1:8" ht="24.9" customHeight="1" thickBot="1" x14ac:dyDescent="0.35">
      <c r="A28" s="111"/>
      <c r="B28" s="98"/>
      <c r="C28" s="98"/>
      <c r="D28" s="98"/>
      <c r="E28" s="98"/>
      <c r="F28" s="203"/>
      <c r="G28" s="94"/>
      <c r="H28" s="112"/>
    </row>
    <row r="29" spans="1:8" ht="24.9" customHeight="1" thickBot="1" x14ac:dyDescent="0.45">
      <c r="A29" s="111"/>
      <c r="B29" s="98" t="s">
        <v>27</v>
      </c>
      <c r="C29" s="98"/>
      <c r="D29" s="98"/>
      <c r="E29" s="98"/>
      <c r="F29" s="202"/>
      <c r="G29" s="231"/>
      <c r="H29" s="112"/>
    </row>
    <row r="30" spans="1:8" ht="24.9" customHeight="1" thickBot="1" x14ac:dyDescent="0.35">
      <c r="A30" s="111"/>
      <c r="B30" s="98"/>
      <c r="C30" s="98"/>
      <c r="D30" s="98"/>
      <c r="E30" s="98"/>
      <c r="F30" s="203"/>
      <c r="G30" s="94"/>
      <c r="H30" s="112"/>
    </row>
    <row r="31" spans="1:8" ht="24.9" customHeight="1" thickBot="1" x14ac:dyDescent="0.45">
      <c r="A31" s="111"/>
      <c r="B31" s="98" t="s">
        <v>51</v>
      </c>
      <c r="C31" s="98"/>
      <c r="D31" s="98"/>
      <c r="E31" s="98"/>
      <c r="F31" s="202"/>
      <c r="G31" s="328"/>
      <c r="H31" s="112"/>
    </row>
    <row r="32" spans="1:8" ht="24.9" customHeight="1" thickBot="1" x14ac:dyDescent="0.35">
      <c r="A32" s="111"/>
      <c r="B32" s="98"/>
      <c r="C32" s="98"/>
      <c r="D32" s="98"/>
      <c r="E32" s="98"/>
      <c r="F32" s="203" t="s">
        <v>126</v>
      </c>
      <c r="G32" s="94"/>
      <c r="H32" s="112"/>
    </row>
    <row r="33" spans="1:8" ht="24.9" customHeight="1" thickBot="1" x14ac:dyDescent="0.45">
      <c r="A33" s="111"/>
      <c r="B33" s="98" t="s">
        <v>93</v>
      </c>
      <c r="C33" s="98"/>
      <c r="D33" s="98"/>
      <c r="E33" s="98"/>
      <c r="F33" s="202"/>
      <c r="G33" s="231"/>
      <c r="H33" s="112"/>
    </row>
    <row r="34" spans="1:8" ht="24.9" customHeight="1" thickBot="1" x14ac:dyDescent="0.35">
      <c r="A34" s="111"/>
      <c r="B34" s="98"/>
      <c r="C34" s="98"/>
      <c r="D34" s="98"/>
      <c r="E34" s="98"/>
      <c r="F34" s="203"/>
      <c r="G34" s="94"/>
      <c r="H34" s="112"/>
    </row>
    <row r="35" spans="1:8" ht="24.9" customHeight="1" thickBot="1" x14ac:dyDescent="0.35">
      <c r="A35" s="111"/>
      <c r="B35" s="98" t="s">
        <v>141</v>
      </c>
      <c r="C35" s="98"/>
      <c r="D35" s="98"/>
      <c r="E35" s="98"/>
      <c r="F35" s="202"/>
      <c r="G35" s="94"/>
      <c r="H35" s="112"/>
    </row>
    <row r="36" spans="1:8" ht="24.9" customHeight="1" thickBot="1" x14ac:dyDescent="0.35">
      <c r="A36" s="111"/>
      <c r="B36" s="213"/>
      <c r="C36" s="213"/>
      <c r="D36" s="98"/>
      <c r="E36" s="98"/>
      <c r="F36" s="203"/>
      <c r="G36" s="94"/>
      <c r="H36" s="112"/>
    </row>
    <row r="37" spans="1:8" ht="24.9" customHeight="1" thickBot="1" x14ac:dyDescent="0.45">
      <c r="A37" s="111"/>
      <c r="B37" s="98" t="s">
        <v>94</v>
      </c>
      <c r="C37" s="98"/>
      <c r="D37" s="98"/>
      <c r="E37" s="205"/>
      <c r="F37" s="202"/>
      <c r="G37" s="231"/>
      <c r="H37" s="112"/>
    </row>
    <row r="38" spans="1:8" ht="24.9" customHeight="1" thickBot="1" x14ac:dyDescent="0.35">
      <c r="A38" s="111"/>
      <c r="B38" s="212"/>
      <c r="C38" s="177"/>
      <c r="D38" s="98"/>
      <c r="E38" s="98"/>
      <c r="F38" s="203"/>
      <c r="G38" s="94"/>
      <c r="H38" s="112"/>
    </row>
    <row r="39" spans="1:8" ht="24.9" customHeight="1" thickBot="1" x14ac:dyDescent="0.35">
      <c r="A39" s="111"/>
      <c r="B39" s="212" t="s">
        <v>150</v>
      </c>
      <c r="C39" s="177"/>
      <c r="D39" s="98"/>
      <c r="E39" s="98"/>
      <c r="F39" s="202"/>
      <c r="G39" s="94"/>
      <c r="H39" s="112"/>
    </row>
    <row r="40" spans="1:8" ht="24.9" customHeight="1" thickBot="1" x14ac:dyDescent="0.35">
      <c r="A40" s="111"/>
      <c r="B40" s="98"/>
      <c r="C40" s="98"/>
      <c r="D40" s="98"/>
      <c r="E40" s="98"/>
      <c r="F40" s="204" t="s">
        <v>126</v>
      </c>
      <c r="G40" s="94"/>
      <c r="H40" s="112"/>
    </row>
    <row r="41" spans="1:8" ht="24.9" customHeight="1" thickBot="1" x14ac:dyDescent="0.35">
      <c r="A41" s="111"/>
      <c r="B41" s="98" t="s">
        <v>49</v>
      </c>
      <c r="C41" s="98"/>
      <c r="D41" s="98"/>
      <c r="E41" s="98"/>
      <c r="F41" s="149">
        <f>SUM(F27,F29,F31,F33,F35,F37,F39)</f>
        <v>0</v>
      </c>
      <c r="G41" s="94"/>
      <c r="H41" s="112"/>
    </row>
    <row r="42" spans="1:8" ht="15" thickBot="1" x14ac:dyDescent="0.35">
      <c r="A42" s="114"/>
      <c r="B42" s="115"/>
      <c r="C42" s="115"/>
      <c r="D42" s="115"/>
      <c r="E42" s="115"/>
      <c r="F42" s="115"/>
      <c r="G42" s="115"/>
      <c r="H42" s="113"/>
    </row>
    <row r="43" spans="1:8" x14ac:dyDescent="0.3">
      <c r="F43" s="1" t="s">
        <v>126</v>
      </c>
    </row>
  </sheetData>
  <mergeCells count="10">
    <mergeCell ref="B15:G25"/>
    <mergeCell ref="E2:G2"/>
    <mergeCell ref="C8:D8"/>
    <mergeCell ref="F8:G8"/>
    <mergeCell ref="C6:G6"/>
    <mergeCell ref="E10:F10"/>
    <mergeCell ref="B12:C12"/>
    <mergeCell ref="B14:C14"/>
    <mergeCell ref="D14:G14"/>
    <mergeCell ref="E12:F12"/>
  </mergeCells>
  <pageMargins left="0.7" right="0.12" top="0.75" bottom="0.75" header="0.3" footer="0.3"/>
  <pageSetup paperSize="9" scale="85" orientation="portrait" horizontalDpi="360" verticalDpi="360" r:id="rId1"/>
  <colBreaks count="1" manualBreakCount="1">
    <brk id="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workbookViewId="0">
      <selection activeCell="B2" sqref="B2:G25"/>
    </sheetView>
  </sheetViews>
  <sheetFormatPr defaultColWidth="9.109375" defaultRowHeight="14.4" x14ac:dyDescent="0.3"/>
  <cols>
    <col min="1" max="3" width="9.109375" style="1"/>
    <col min="4" max="4" width="15.109375" style="1" bestFit="1" customWidth="1"/>
    <col min="5" max="5" width="6" style="1" customWidth="1"/>
    <col min="6" max="16384" width="9.109375" style="1"/>
  </cols>
  <sheetData>
    <row r="2" spans="2:7" x14ac:dyDescent="0.3">
      <c r="F2" s="354" t="s">
        <v>234</v>
      </c>
      <c r="G2" s="354" t="s">
        <v>235</v>
      </c>
    </row>
    <row r="3" spans="2:7" ht="18" x14ac:dyDescent="0.3">
      <c r="B3" s="345" t="s">
        <v>226</v>
      </c>
      <c r="C3" s="345">
        <v>1044</v>
      </c>
      <c r="D3" s="346">
        <v>44993</v>
      </c>
      <c r="E3" s="346" t="s">
        <v>237</v>
      </c>
      <c r="F3" s="352">
        <v>2</v>
      </c>
      <c r="G3" s="348">
        <v>3</v>
      </c>
    </row>
    <row r="4" spans="2:7" ht="18" x14ac:dyDescent="0.3">
      <c r="B4" s="345" t="s">
        <v>232</v>
      </c>
      <c r="C4" s="353">
        <v>34</v>
      </c>
      <c r="D4" s="346">
        <v>44993</v>
      </c>
      <c r="E4" s="346" t="s">
        <v>236</v>
      </c>
      <c r="F4" s="352">
        <v>6</v>
      </c>
      <c r="G4" s="348">
        <v>10</v>
      </c>
    </row>
    <row r="5" spans="2:7" ht="18" x14ac:dyDescent="0.3">
      <c r="B5" s="345" t="s">
        <v>232</v>
      </c>
      <c r="C5" s="353">
        <v>20</v>
      </c>
      <c r="D5" s="346">
        <v>44993</v>
      </c>
      <c r="E5" s="346" t="s">
        <v>236</v>
      </c>
      <c r="F5" s="352">
        <v>5</v>
      </c>
      <c r="G5" s="348">
        <v>10</v>
      </c>
    </row>
    <row r="6" spans="2:7" ht="18" x14ac:dyDescent="0.3">
      <c r="B6" s="345" t="s">
        <v>232</v>
      </c>
      <c r="C6" s="353">
        <v>43</v>
      </c>
      <c r="D6" s="346">
        <v>44993</v>
      </c>
      <c r="E6" s="346" t="s">
        <v>236</v>
      </c>
      <c r="F6" s="352">
        <v>5</v>
      </c>
      <c r="G6" s="348">
        <v>10</v>
      </c>
    </row>
    <row r="7" spans="2:7" ht="18" x14ac:dyDescent="0.3">
      <c r="B7" s="345" t="s">
        <v>232</v>
      </c>
      <c r="C7" s="353">
        <v>34</v>
      </c>
      <c r="D7" s="346">
        <v>44993</v>
      </c>
      <c r="E7" s="346" t="s">
        <v>237</v>
      </c>
      <c r="F7" s="352">
        <v>33</v>
      </c>
      <c r="G7" s="348">
        <v>21</v>
      </c>
    </row>
    <row r="8" spans="2:7" ht="18" x14ac:dyDescent="0.3">
      <c r="B8" s="345" t="s">
        <v>232</v>
      </c>
      <c r="C8" s="353">
        <v>20</v>
      </c>
      <c r="D8" s="346">
        <v>44993</v>
      </c>
      <c r="E8" s="346" t="s">
        <v>237</v>
      </c>
      <c r="F8" s="352">
        <v>27</v>
      </c>
      <c r="G8" s="348">
        <v>15</v>
      </c>
    </row>
    <row r="9" spans="2:7" ht="18" x14ac:dyDescent="0.3">
      <c r="B9" s="345" t="s">
        <v>232</v>
      </c>
      <c r="C9" s="353">
        <v>43</v>
      </c>
      <c r="D9" s="346">
        <v>44993</v>
      </c>
      <c r="E9" s="346" t="s">
        <v>237</v>
      </c>
      <c r="F9" s="352">
        <v>25</v>
      </c>
      <c r="G9" s="348">
        <v>13</v>
      </c>
    </row>
    <row r="10" spans="2:7" ht="18" x14ac:dyDescent="0.3">
      <c r="B10" s="345" t="s">
        <v>231</v>
      </c>
      <c r="C10" s="353">
        <v>862</v>
      </c>
      <c r="D10" s="346">
        <v>44993</v>
      </c>
      <c r="E10" s="346" t="s">
        <v>237</v>
      </c>
      <c r="F10" s="352">
        <v>8</v>
      </c>
      <c r="G10" s="348">
        <v>8</v>
      </c>
    </row>
    <row r="11" spans="2:7" ht="18" x14ac:dyDescent="0.3">
      <c r="B11" s="345" t="s">
        <v>229</v>
      </c>
      <c r="C11" s="353">
        <v>106</v>
      </c>
      <c r="D11" s="346">
        <v>44993</v>
      </c>
      <c r="E11" s="346" t="s">
        <v>238</v>
      </c>
      <c r="F11" s="352">
        <v>39</v>
      </c>
      <c r="G11" s="348">
        <v>39</v>
      </c>
    </row>
    <row r="12" spans="2:7" ht="18" x14ac:dyDescent="0.3">
      <c r="B12" s="345" t="s">
        <v>226</v>
      </c>
      <c r="C12" s="353">
        <v>678</v>
      </c>
      <c r="D12" s="346">
        <v>44993</v>
      </c>
      <c r="E12" s="346" t="s">
        <v>237</v>
      </c>
      <c r="F12" s="352">
        <v>5</v>
      </c>
      <c r="G12" s="348">
        <v>6</v>
      </c>
    </row>
    <row r="13" spans="2:7" ht="18" x14ac:dyDescent="0.3">
      <c r="B13" s="345" t="s">
        <v>232</v>
      </c>
      <c r="C13" s="353">
        <v>11</v>
      </c>
      <c r="D13" s="346">
        <v>44993</v>
      </c>
      <c r="E13" s="346" t="s">
        <v>237</v>
      </c>
      <c r="F13" s="352">
        <v>31</v>
      </c>
      <c r="G13" s="348">
        <v>29</v>
      </c>
    </row>
    <row r="14" spans="2:7" ht="18" x14ac:dyDescent="0.3">
      <c r="B14" s="345" t="s">
        <v>228</v>
      </c>
      <c r="C14" s="353">
        <v>13</v>
      </c>
      <c r="D14" s="346">
        <v>44993</v>
      </c>
      <c r="E14" s="346" t="s">
        <v>237</v>
      </c>
      <c r="F14" s="352">
        <v>5</v>
      </c>
      <c r="G14" s="348">
        <v>6</v>
      </c>
    </row>
    <row r="15" spans="2:7" ht="18" x14ac:dyDescent="0.3">
      <c r="B15" s="345" t="s">
        <v>231</v>
      </c>
      <c r="C15" s="353">
        <v>807</v>
      </c>
      <c r="D15" s="346">
        <v>44993</v>
      </c>
      <c r="E15" s="346" t="s">
        <v>237</v>
      </c>
      <c r="F15" s="352">
        <v>8</v>
      </c>
      <c r="G15" s="348">
        <v>8</v>
      </c>
    </row>
    <row r="16" spans="2:7" ht="18" x14ac:dyDescent="0.3">
      <c r="B16" s="345" t="s">
        <v>229</v>
      </c>
      <c r="C16" s="353">
        <v>154</v>
      </c>
      <c r="D16" s="346">
        <v>44993</v>
      </c>
      <c r="E16" s="346" t="s">
        <v>238</v>
      </c>
      <c r="F16" s="352">
        <v>25</v>
      </c>
      <c r="G16" s="348">
        <v>25</v>
      </c>
    </row>
    <row r="17" spans="2:7" ht="18" x14ac:dyDescent="0.3">
      <c r="B17" s="345" t="s">
        <v>226</v>
      </c>
      <c r="C17" s="345">
        <v>748</v>
      </c>
      <c r="D17" s="346">
        <v>44993</v>
      </c>
      <c r="E17" s="346" t="s">
        <v>237</v>
      </c>
      <c r="F17" s="352">
        <v>4</v>
      </c>
      <c r="G17" s="348">
        <v>5</v>
      </c>
    </row>
    <row r="18" spans="2:7" ht="18" x14ac:dyDescent="0.3">
      <c r="B18" s="345" t="s">
        <v>226</v>
      </c>
      <c r="C18" s="353">
        <v>962</v>
      </c>
      <c r="D18" s="346">
        <v>44993</v>
      </c>
      <c r="E18" s="346" t="s">
        <v>237</v>
      </c>
      <c r="F18" s="352">
        <v>6</v>
      </c>
      <c r="G18" s="348">
        <v>7</v>
      </c>
    </row>
    <row r="19" spans="2:7" ht="18" x14ac:dyDescent="0.3">
      <c r="B19" s="345" t="s">
        <v>227</v>
      </c>
      <c r="C19" s="353" t="s">
        <v>233</v>
      </c>
      <c r="D19" s="346">
        <v>44993</v>
      </c>
      <c r="E19" s="346" t="s">
        <v>237</v>
      </c>
      <c r="F19" s="352">
        <v>35</v>
      </c>
      <c r="G19" s="348">
        <v>33</v>
      </c>
    </row>
    <row r="20" spans="2:7" ht="18" x14ac:dyDescent="0.3">
      <c r="B20" s="345" t="s">
        <v>232</v>
      </c>
      <c r="C20" s="353">
        <v>30</v>
      </c>
      <c r="D20" s="346">
        <v>44994</v>
      </c>
      <c r="E20" s="356" t="s">
        <v>236</v>
      </c>
      <c r="F20" s="359">
        <v>7</v>
      </c>
      <c r="G20" s="348">
        <v>7</v>
      </c>
    </row>
    <row r="21" spans="2:7" ht="18" x14ac:dyDescent="0.3">
      <c r="B21" s="345" t="s">
        <v>232</v>
      </c>
      <c r="C21" s="353">
        <v>51</v>
      </c>
      <c r="D21" s="358">
        <v>44994</v>
      </c>
      <c r="E21" s="346" t="s">
        <v>236</v>
      </c>
      <c r="F21" s="352">
        <v>6</v>
      </c>
      <c r="G21" s="348">
        <v>6</v>
      </c>
    </row>
    <row r="22" spans="2:7" ht="15.6" x14ac:dyDescent="0.3">
      <c r="E22" s="357"/>
      <c r="F22" s="360" t="s">
        <v>102</v>
      </c>
      <c r="G22" s="355">
        <f>SUM(G3:G21)</f>
        <v>261</v>
      </c>
    </row>
    <row r="23" spans="2:7" ht="15.6" x14ac:dyDescent="0.3">
      <c r="B23" s="470" t="s">
        <v>239</v>
      </c>
      <c r="C23" s="472"/>
      <c r="D23" s="471"/>
    </row>
    <row r="24" spans="2:7" ht="15.6" x14ac:dyDescent="0.3">
      <c r="B24" s="470" t="s">
        <v>240</v>
      </c>
      <c r="C24" s="471"/>
      <c r="D24" s="361">
        <v>241</v>
      </c>
    </row>
    <row r="25" spans="2:7" ht="15.6" x14ac:dyDescent="0.3">
      <c r="B25" s="470" t="s">
        <v>142</v>
      </c>
      <c r="C25" s="471"/>
      <c r="D25" s="361">
        <v>20</v>
      </c>
    </row>
  </sheetData>
  <mergeCells count="3">
    <mergeCell ref="B24:C24"/>
    <mergeCell ref="B25:C25"/>
    <mergeCell ref="B23:D2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G31"/>
  <sheetViews>
    <sheetView workbookViewId="0">
      <selection activeCell="I3" sqref="I3"/>
    </sheetView>
  </sheetViews>
  <sheetFormatPr defaultRowHeight="14.4" x14ac:dyDescent="0.3"/>
  <cols>
    <col min="1" max="1" width="44.88671875" bestFit="1" customWidth="1"/>
    <col min="7" max="7" width="8.5546875" bestFit="1" customWidth="1"/>
  </cols>
  <sheetData>
    <row r="1" spans="1:7" ht="74.25" customHeight="1" x14ac:dyDescent="0.3">
      <c r="A1" s="475" t="s">
        <v>176</v>
      </c>
      <c r="B1" s="477" t="s">
        <v>177</v>
      </c>
      <c r="C1" s="478"/>
      <c r="D1" s="479" t="s">
        <v>178</v>
      </c>
      <c r="E1" s="479" t="s">
        <v>179</v>
      </c>
      <c r="F1" s="479" t="s">
        <v>180</v>
      </c>
      <c r="G1" s="473" t="s">
        <v>102</v>
      </c>
    </row>
    <row r="2" spans="1:7" ht="15" thickBot="1" x14ac:dyDescent="0.35">
      <c r="A2" s="476"/>
      <c r="B2" s="257" t="s">
        <v>181</v>
      </c>
      <c r="C2" s="258" t="s">
        <v>182</v>
      </c>
      <c r="D2" s="480"/>
      <c r="E2" s="480"/>
      <c r="F2" s="480"/>
      <c r="G2" s="474"/>
    </row>
    <row r="3" spans="1:7" ht="18" x14ac:dyDescent="0.3">
      <c r="A3" s="259" t="s">
        <v>183</v>
      </c>
      <c r="B3" s="260">
        <v>22</v>
      </c>
      <c r="C3" s="261"/>
      <c r="D3" s="262"/>
      <c r="E3" s="262"/>
      <c r="F3" s="262"/>
      <c r="G3" s="263">
        <v>22</v>
      </c>
    </row>
    <row r="4" spans="1:7" ht="18" x14ac:dyDescent="0.3">
      <c r="A4" s="264" t="s">
        <v>184</v>
      </c>
      <c r="B4" s="265">
        <v>8</v>
      </c>
      <c r="C4" s="266"/>
      <c r="D4" s="267"/>
      <c r="E4" s="267"/>
      <c r="F4" s="267"/>
      <c r="G4" s="268">
        <v>8</v>
      </c>
    </row>
    <row r="5" spans="1:7" ht="18" x14ac:dyDescent="0.3">
      <c r="A5" s="259" t="s">
        <v>185</v>
      </c>
      <c r="B5" s="269"/>
      <c r="C5" s="270"/>
      <c r="D5" s="262"/>
      <c r="E5" s="262">
        <v>4</v>
      </c>
      <c r="F5" s="262"/>
      <c r="G5" s="263">
        <v>4</v>
      </c>
    </row>
    <row r="6" spans="1:7" ht="18" x14ac:dyDescent="0.3">
      <c r="A6" s="264" t="s">
        <v>186</v>
      </c>
      <c r="B6" s="265">
        <v>14</v>
      </c>
      <c r="C6" s="266"/>
      <c r="D6" s="267"/>
      <c r="E6" s="267">
        <v>18</v>
      </c>
      <c r="F6" s="267"/>
      <c r="G6" s="268">
        <v>32</v>
      </c>
    </row>
    <row r="7" spans="1:7" ht="18" x14ac:dyDescent="0.3">
      <c r="A7" s="259" t="s">
        <v>187</v>
      </c>
      <c r="B7" s="269">
        <v>12</v>
      </c>
      <c r="C7" s="270"/>
      <c r="D7" s="262"/>
      <c r="E7" s="262"/>
      <c r="F7" s="262"/>
      <c r="G7" s="263">
        <v>12</v>
      </c>
    </row>
    <row r="8" spans="1:7" ht="18" x14ac:dyDescent="0.3">
      <c r="A8" s="264" t="s">
        <v>188</v>
      </c>
      <c r="B8" s="265">
        <v>25</v>
      </c>
      <c r="C8" s="266"/>
      <c r="D8" s="267">
        <v>1</v>
      </c>
      <c r="E8" s="267"/>
      <c r="F8" s="267"/>
      <c r="G8" s="268">
        <v>26</v>
      </c>
    </row>
    <row r="9" spans="1:7" ht="18" x14ac:dyDescent="0.3">
      <c r="A9" s="259" t="s">
        <v>189</v>
      </c>
      <c r="B9" s="269">
        <v>4</v>
      </c>
      <c r="C9" s="270"/>
      <c r="D9" s="262">
        <v>11</v>
      </c>
      <c r="E9" s="262"/>
      <c r="F9" s="262"/>
      <c r="G9" s="263">
        <v>15</v>
      </c>
    </row>
    <row r="10" spans="1:7" ht="18" x14ac:dyDescent="0.3">
      <c r="A10" s="264" t="s">
        <v>190</v>
      </c>
      <c r="B10" s="265">
        <v>1</v>
      </c>
      <c r="C10" s="266"/>
      <c r="D10" s="267">
        <v>4</v>
      </c>
      <c r="E10" s="267"/>
      <c r="F10" s="267"/>
      <c r="G10" s="268">
        <v>5</v>
      </c>
    </row>
    <row r="11" spans="1:7" ht="18" x14ac:dyDescent="0.3">
      <c r="A11" s="259" t="s">
        <v>191</v>
      </c>
      <c r="B11" s="269">
        <v>1</v>
      </c>
      <c r="C11" s="270"/>
      <c r="D11" s="262"/>
      <c r="E11" s="262"/>
      <c r="F11" s="262"/>
      <c r="G11" s="263">
        <v>1</v>
      </c>
    </row>
    <row r="12" spans="1:7" ht="18" x14ac:dyDescent="0.3">
      <c r="A12" s="264" t="s">
        <v>192</v>
      </c>
      <c r="B12" s="265"/>
      <c r="C12" s="266"/>
      <c r="D12" s="267"/>
      <c r="E12" s="267"/>
      <c r="F12" s="267"/>
      <c r="G12" s="268"/>
    </row>
    <row r="13" spans="1:7" ht="18" x14ac:dyDescent="0.3">
      <c r="A13" s="259" t="s">
        <v>193</v>
      </c>
      <c r="B13" s="269">
        <v>20</v>
      </c>
      <c r="C13" s="270"/>
      <c r="D13" s="262"/>
      <c r="E13" s="262"/>
      <c r="F13" s="262"/>
      <c r="G13" s="263">
        <v>20</v>
      </c>
    </row>
    <row r="14" spans="1:7" ht="18" x14ac:dyDescent="0.3">
      <c r="A14" s="264" t="s">
        <v>194</v>
      </c>
      <c r="B14" s="265">
        <v>6</v>
      </c>
      <c r="C14" s="266"/>
      <c r="D14" s="267"/>
      <c r="E14" s="267"/>
      <c r="F14" s="267"/>
      <c r="G14" s="268">
        <v>6</v>
      </c>
    </row>
    <row r="15" spans="1:7" ht="18" x14ac:dyDescent="0.3">
      <c r="A15" s="259" t="s">
        <v>195</v>
      </c>
      <c r="B15" s="269">
        <v>243</v>
      </c>
      <c r="C15" s="270"/>
      <c r="D15" s="262">
        <v>3</v>
      </c>
      <c r="E15" s="262">
        <v>9</v>
      </c>
      <c r="F15" s="262">
        <v>42</v>
      </c>
      <c r="G15" s="263">
        <v>297</v>
      </c>
    </row>
    <row r="16" spans="1:7" ht="18" x14ac:dyDescent="0.3">
      <c r="A16" s="264" t="s">
        <v>196</v>
      </c>
      <c r="B16" s="265">
        <v>17</v>
      </c>
      <c r="C16" s="266"/>
      <c r="D16" s="267"/>
      <c r="E16" s="267"/>
      <c r="F16" s="267"/>
      <c r="G16" s="268">
        <v>17</v>
      </c>
    </row>
    <row r="17" spans="1:7" ht="18" x14ac:dyDescent="0.3">
      <c r="A17" s="259" t="s">
        <v>197</v>
      </c>
      <c r="B17" s="269">
        <v>10</v>
      </c>
      <c r="C17" s="270"/>
      <c r="D17" s="262"/>
      <c r="E17" s="262"/>
      <c r="F17" s="262"/>
      <c r="G17" s="263">
        <v>10</v>
      </c>
    </row>
    <row r="18" spans="1:7" ht="18" x14ac:dyDescent="0.3">
      <c r="A18" s="264" t="s">
        <v>198</v>
      </c>
      <c r="B18" s="265">
        <v>10</v>
      </c>
      <c r="C18" s="266"/>
      <c r="D18" s="267"/>
      <c r="E18" s="267"/>
      <c r="F18" s="267"/>
      <c r="G18" s="268">
        <v>10</v>
      </c>
    </row>
    <row r="19" spans="1:7" ht="18" x14ac:dyDescent="0.3">
      <c r="A19" s="259" t="s">
        <v>199</v>
      </c>
      <c r="B19" s="269">
        <v>55</v>
      </c>
      <c r="C19" s="270"/>
      <c r="D19" s="262"/>
      <c r="E19" s="262"/>
      <c r="F19" s="262"/>
      <c r="G19" s="263">
        <v>55</v>
      </c>
    </row>
    <row r="20" spans="1:7" ht="18" x14ac:dyDescent="0.3">
      <c r="A20" s="264" t="s">
        <v>200</v>
      </c>
      <c r="B20" s="265">
        <v>551</v>
      </c>
      <c r="C20" s="266"/>
      <c r="D20" s="267"/>
      <c r="E20" s="267"/>
      <c r="F20" s="267"/>
      <c r="G20" s="268">
        <v>551</v>
      </c>
    </row>
    <row r="21" spans="1:7" ht="18" x14ac:dyDescent="0.3">
      <c r="A21" s="259" t="s">
        <v>201</v>
      </c>
      <c r="B21" s="269">
        <v>29</v>
      </c>
      <c r="C21" s="270"/>
      <c r="D21" s="262"/>
      <c r="E21" s="262"/>
      <c r="F21" s="262"/>
      <c r="G21" s="263">
        <v>29</v>
      </c>
    </row>
    <row r="22" spans="1:7" ht="18" x14ac:dyDescent="0.3">
      <c r="A22" s="264" t="s">
        <v>202</v>
      </c>
      <c r="B22" s="265">
        <v>16</v>
      </c>
      <c r="C22" s="266"/>
      <c r="D22" s="267"/>
      <c r="E22" s="267"/>
      <c r="F22" s="267"/>
      <c r="G22" s="268">
        <v>16</v>
      </c>
    </row>
    <row r="23" spans="1:7" ht="18" x14ac:dyDescent="0.3">
      <c r="A23" s="259" t="s">
        <v>203</v>
      </c>
      <c r="B23" s="269">
        <v>18</v>
      </c>
      <c r="C23" s="270"/>
      <c r="D23" s="262"/>
      <c r="E23" s="262"/>
      <c r="F23" s="262"/>
      <c r="G23" s="263">
        <v>18</v>
      </c>
    </row>
    <row r="24" spans="1:7" ht="18" x14ac:dyDescent="0.3">
      <c r="A24" s="264" t="s">
        <v>204</v>
      </c>
      <c r="B24" s="265">
        <v>9</v>
      </c>
      <c r="C24" s="266"/>
      <c r="D24" s="267"/>
      <c r="E24" s="267"/>
      <c r="F24" s="267"/>
      <c r="G24" s="268">
        <v>9</v>
      </c>
    </row>
    <row r="25" spans="1:7" ht="18" x14ac:dyDescent="0.3">
      <c r="A25" s="259" t="s">
        <v>205</v>
      </c>
      <c r="B25" s="269">
        <v>3</v>
      </c>
      <c r="C25" s="270"/>
      <c r="D25" s="262"/>
      <c r="E25" s="262"/>
      <c r="F25" s="262"/>
      <c r="G25" s="263">
        <v>3</v>
      </c>
    </row>
    <row r="26" spans="1:7" ht="18" x14ac:dyDescent="0.3">
      <c r="A26" s="264" t="s">
        <v>206</v>
      </c>
      <c r="B26" s="265">
        <v>18</v>
      </c>
      <c r="C26" s="266"/>
      <c r="D26" s="267"/>
      <c r="E26" s="267"/>
      <c r="F26" s="267"/>
      <c r="G26" s="268">
        <v>18</v>
      </c>
    </row>
    <row r="27" spans="1:7" ht="18" x14ac:dyDescent="0.3">
      <c r="A27" s="259" t="s">
        <v>207</v>
      </c>
      <c r="B27" s="269">
        <v>10</v>
      </c>
      <c r="C27" s="270"/>
      <c r="D27" s="262"/>
      <c r="E27" s="262"/>
      <c r="F27" s="262"/>
      <c r="G27" s="263">
        <v>10</v>
      </c>
    </row>
    <row r="28" spans="1:7" ht="18" x14ac:dyDescent="0.3">
      <c r="A28" s="264" t="s">
        <v>208</v>
      </c>
      <c r="B28" s="265">
        <v>20</v>
      </c>
      <c r="C28" s="266"/>
      <c r="D28" s="267"/>
      <c r="E28" s="267"/>
      <c r="F28" s="267"/>
      <c r="G28" s="268">
        <v>20</v>
      </c>
    </row>
    <row r="29" spans="1:7" ht="18" x14ac:dyDescent="0.3">
      <c r="A29" s="259" t="s">
        <v>209</v>
      </c>
      <c r="B29" s="269">
        <v>30</v>
      </c>
      <c r="C29" s="270"/>
      <c r="D29" s="262"/>
      <c r="E29" s="262"/>
      <c r="F29" s="262"/>
      <c r="G29" s="263"/>
    </row>
    <row r="30" spans="1:7" ht="18" x14ac:dyDescent="0.3">
      <c r="A30" s="264" t="s">
        <v>210</v>
      </c>
      <c r="B30" s="265">
        <v>30</v>
      </c>
      <c r="C30" s="266"/>
      <c r="D30" s="267">
        <v>7</v>
      </c>
      <c r="E30" s="267">
        <v>3</v>
      </c>
      <c r="F30" s="267"/>
      <c r="G30" s="268">
        <v>40</v>
      </c>
    </row>
    <row r="31" spans="1:7" ht="18.600000000000001" thickBot="1" x14ac:dyDescent="0.35">
      <c r="A31" s="271" t="s">
        <v>211</v>
      </c>
      <c r="B31" s="272">
        <v>145</v>
      </c>
      <c r="C31" s="273"/>
      <c r="D31" s="274">
        <v>11</v>
      </c>
      <c r="E31" s="274"/>
      <c r="F31" s="274"/>
      <c r="G31" s="275">
        <v>156</v>
      </c>
    </row>
  </sheetData>
  <mergeCells count="6">
    <mergeCell ref="G1:G2"/>
    <mergeCell ref="A1:A2"/>
    <mergeCell ref="B1:C1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2:G9"/>
  <sheetViews>
    <sheetView workbookViewId="0">
      <selection activeCell="K7" sqref="K7"/>
    </sheetView>
  </sheetViews>
  <sheetFormatPr defaultColWidth="9.109375" defaultRowHeight="14.4" x14ac:dyDescent="0.3"/>
  <cols>
    <col min="1" max="1" width="3.33203125" style="101" customWidth="1"/>
    <col min="2" max="2" width="12.5546875" style="1" customWidth="1"/>
    <col min="3" max="3" width="14.109375" style="107" customWidth="1"/>
    <col min="4" max="4" width="33" style="1" customWidth="1"/>
    <col min="5" max="7" width="16.6640625" style="1" customWidth="1"/>
    <col min="8" max="8" width="3.44140625" style="1" customWidth="1"/>
    <col min="9" max="16384" width="9.109375" style="1"/>
  </cols>
  <sheetData>
    <row r="2" spans="1:7" ht="39.9" customHeight="1" x14ac:dyDescent="0.3">
      <c r="B2" s="481" t="s">
        <v>96</v>
      </c>
      <c r="C2" s="482"/>
      <c r="D2" s="482"/>
      <c r="E2" s="482"/>
      <c r="F2" s="482"/>
      <c r="G2" s="483"/>
    </row>
    <row r="3" spans="1:7" s="93" customFormat="1" ht="39.9" customHeight="1" x14ac:dyDescent="0.3">
      <c r="A3" s="100"/>
      <c r="B3" s="90" t="s">
        <v>53</v>
      </c>
      <c r="C3" s="105" t="s">
        <v>28</v>
      </c>
      <c r="D3" s="90" t="s">
        <v>87</v>
      </c>
      <c r="E3" s="90" t="s">
        <v>88</v>
      </c>
      <c r="F3" s="90" t="s">
        <v>89</v>
      </c>
      <c r="G3" s="90" t="s">
        <v>90</v>
      </c>
    </row>
    <row r="4" spans="1:7" ht="39.9" customHeight="1" x14ac:dyDescent="0.3">
      <c r="B4" s="90" t="s">
        <v>97</v>
      </c>
      <c r="C4" s="106">
        <v>41578</v>
      </c>
      <c r="D4" s="91" t="s">
        <v>98</v>
      </c>
      <c r="E4" s="92">
        <v>0.625</v>
      </c>
      <c r="F4" s="92">
        <v>0.70833333333333337</v>
      </c>
      <c r="G4" s="92" t="s">
        <v>99</v>
      </c>
    </row>
    <row r="5" spans="1:7" ht="39.9" customHeight="1" x14ac:dyDescent="0.3">
      <c r="B5" s="90"/>
      <c r="C5" s="106"/>
      <c r="D5" s="91"/>
      <c r="E5" s="90"/>
      <c r="F5" s="90"/>
      <c r="G5" s="90"/>
    </row>
    <row r="6" spans="1:7" ht="39.9" customHeight="1" x14ac:dyDescent="0.3">
      <c r="B6" s="90"/>
      <c r="C6" s="106"/>
      <c r="D6" s="91"/>
      <c r="E6" s="90"/>
      <c r="F6" s="90"/>
      <c r="G6" s="90"/>
    </row>
    <row r="7" spans="1:7" ht="39.9" customHeight="1" x14ac:dyDescent="0.3">
      <c r="B7" s="90"/>
      <c r="C7" s="106"/>
      <c r="D7" s="91"/>
      <c r="E7" s="90"/>
      <c r="F7" s="90"/>
      <c r="G7" s="90"/>
    </row>
    <row r="8" spans="1:7" ht="39.9" customHeight="1" x14ac:dyDescent="0.3">
      <c r="B8" s="90"/>
      <c r="C8" s="106"/>
      <c r="D8" s="91"/>
      <c r="E8" s="90"/>
      <c r="F8" s="90"/>
      <c r="G8" s="90"/>
    </row>
    <row r="9" spans="1:7" ht="39.9" customHeight="1" x14ac:dyDescent="0.3">
      <c r="B9" s="90"/>
      <c r="C9" s="106"/>
      <c r="D9" s="91"/>
      <c r="E9" s="90"/>
      <c r="F9" s="90"/>
      <c r="G9" s="90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scale="9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H16"/>
  <sheetViews>
    <sheetView workbookViewId="0">
      <selection activeCell="I3" sqref="I3"/>
    </sheetView>
  </sheetViews>
  <sheetFormatPr defaultRowHeight="14.4" x14ac:dyDescent="0.3"/>
  <cols>
    <col min="2" max="2" width="9.5546875" bestFit="1" customWidth="1"/>
    <col min="3" max="3" width="11.88671875" bestFit="1" customWidth="1"/>
    <col min="4" max="4" width="34.33203125" bestFit="1" customWidth="1"/>
    <col min="8" max="8" width="9.5546875" bestFit="1" customWidth="1"/>
  </cols>
  <sheetData>
    <row r="1" spans="1:8" ht="31.8" thickBot="1" x14ac:dyDescent="0.35">
      <c r="A1" s="245" t="s">
        <v>156</v>
      </c>
      <c r="B1" s="246" t="s">
        <v>31</v>
      </c>
      <c r="C1" s="246" t="s">
        <v>28</v>
      </c>
      <c r="D1" s="246" t="s">
        <v>54</v>
      </c>
      <c r="E1" s="246" t="s">
        <v>92</v>
      </c>
      <c r="F1" s="246" t="s">
        <v>157</v>
      </c>
      <c r="G1" s="246" t="s">
        <v>158</v>
      </c>
      <c r="H1" s="246" t="s">
        <v>159</v>
      </c>
    </row>
    <row r="2" spans="1:8" ht="16.2" thickBot="1" x14ac:dyDescent="0.35">
      <c r="A2" s="247" t="s">
        <v>154</v>
      </c>
      <c r="B2" s="248">
        <v>9</v>
      </c>
      <c r="C2" s="249">
        <v>44095</v>
      </c>
      <c r="D2" s="250" t="s">
        <v>160</v>
      </c>
      <c r="E2" s="250" t="s">
        <v>155</v>
      </c>
      <c r="F2" s="248" t="s">
        <v>161</v>
      </c>
      <c r="G2" s="251" t="s">
        <v>162</v>
      </c>
      <c r="H2" s="248">
        <v>4</v>
      </c>
    </row>
    <row r="3" spans="1:8" ht="16.2" thickBot="1" x14ac:dyDescent="0.35">
      <c r="A3" s="247" t="s">
        <v>154</v>
      </c>
      <c r="B3" s="248">
        <v>13</v>
      </c>
      <c r="C3" s="249">
        <v>44095</v>
      </c>
      <c r="D3" s="250" t="s">
        <v>163</v>
      </c>
      <c r="E3" s="250" t="s">
        <v>155</v>
      </c>
      <c r="F3" s="248" t="s">
        <v>161</v>
      </c>
      <c r="G3" s="251" t="s">
        <v>162</v>
      </c>
      <c r="H3" s="248">
        <v>3</v>
      </c>
    </row>
    <row r="4" spans="1:8" ht="16.2" thickBot="1" x14ac:dyDescent="0.35">
      <c r="A4" s="247" t="s">
        <v>154</v>
      </c>
      <c r="B4" s="248">
        <v>18</v>
      </c>
      <c r="C4" s="249">
        <v>44095</v>
      </c>
      <c r="D4" s="250" t="s">
        <v>164</v>
      </c>
      <c r="E4" s="250" t="s">
        <v>155</v>
      </c>
      <c r="F4" s="248" t="s">
        <v>161</v>
      </c>
      <c r="G4" s="251" t="s">
        <v>162</v>
      </c>
      <c r="H4" s="248">
        <v>3</v>
      </c>
    </row>
    <row r="5" spans="1:8" ht="16.2" thickBot="1" x14ac:dyDescent="0.35">
      <c r="A5" s="247" t="s">
        <v>154</v>
      </c>
      <c r="B5" s="248">
        <v>32</v>
      </c>
      <c r="C5" s="249">
        <v>44095</v>
      </c>
      <c r="D5" s="250" t="s">
        <v>165</v>
      </c>
      <c r="E5" s="250" t="s">
        <v>155</v>
      </c>
      <c r="F5" s="248" t="s">
        <v>161</v>
      </c>
      <c r="G5" s="251" t="s">
        <v>162</v>
      </c>
      <c r="H5" s="248">
        <v>6</v>
      </c>
    </row>
    <row r="6" spans="1:8" ht="16.2" thickBot="1" x14ac:dyDescent="0.35">
      <c r="A6" s="252"/>
      <c r="B6" s="253"/>
      <c r="C6" s="253"/>
      <c r="D6" s="254"/>
      <c r="E6" s="254"/>
      <c r="F6" s="253"/>
      <c r="G6" s="255"/>
      <c r="H6" s="256">
        <v>16</v>
      </c>
    </row>
    <row r="7" spans="1:8" ht="16.2" thickBot="1" x14ac:dyDescent="0.35">
      <c r="A7" s="247" t="s">
        <v>154</v>
      </c>
      <c r="B7" s="248">
        <v>6</v>
      </c>
      <c r="C7" s="249">
        <v>44096</v>
      </c>
      <c r="D7" s="250" t="s">
        <v>166</v>
      </c>
      <c r="E7" s="250" t="s">
        <v>155</v>
      </c>
      <c r="F7" s="248" t="s">
        <v>161</v>
      </c>
      <c r="G7" s="251" t="s">
        <v>162</v>
      </c>
      <c r="H7" s="248">
        <v>4</v>
      </c>
    </row>
    <row r="8" spans="1:8" ht="16.2" thickBot="1" x14ac:dyDescent="0.35">
      <c r="A8" s="247" t="s">
        <v>154</v>
      </c>
      <c r="B8" s="248">
        <v>7</v>
      </c>
      <c r="C8" s="249">
        <v>44096</v>
      </c>
      <c r="D8" s="250" t="s">
        <v>167</v>
      </c>
      <c r="E8" s="250" t="s">
        <v>155</v>
      </c>
      <c r="F8" s="248" t="s">
        <v>161</v>
      </c>
      <c r="G8" s="251" t="s">
        <v>162</v>
      </c>
      <c r="H8" s="248">
        <v>3</v>
      </c>
    </row>
    <row r="9" spans="1:8" ht="16.2" thickBot="1" x14ac:dyDescent="0.35">
      <c r="A9" s="247" t="s">
        <v>154</v>
      </c>
      <c r="B9" s="248">
        <v>10</v>
      </c>
      <c r="C9" s="249">
        <v>44096</v>
      </c>
      <c r="D9" s="250" t="s">
        <v>168</v>
      </c>
      <c r="E9" s="250" t="s">
        <v>155</v>
      </c>
      <c r="F9" s="248" t="s">
        <v>161</v>
      </c>
      <c r="G9" s="251" t="s">
        <v>162</v>
      </c>
      <c r="H9" s="248">
        <v>4</v>
      </c>
    </row>
    <row r="10" spans="1:8" ht="16.2" thickBot="1" x14ac:dyDescent="0.35">
      <c r="A10" s="247" t="s">
        <v>154</v>
      </c>
      <c r="B10" s="248">
        <v>22</v>
      </c>
      <c r="C10" s="249">
        <v>44096</v>
      </c>
      <c r="D10" s="250" t="s">
        <v>169</v>
      </c>
      <c r="E10" s="250" t="s">
        <v>155</v>
      </c>
      <c r="F10" s="248" t="s">
        <v>161</v>
      </c>
      <c r="G10" s="251" t="s">
        <v>162</v>
      </c>
      <c r="H10" s="248">
        <v>6</v>
      </c>
    </row>
    <row r="11" spans="1:8" ht="16.2" thickBot="1" x14ac:dyDescent="0.35">
      <c r="A11" s="252"/>
      <c r="B11" s="253"/>
      <c r="C11" s="253"/>
      <c r="D11" s="254"/>
      <c r="E11" s="254"/>
      <c r="F11" s="253"/>
      <c r="G11" s="255"/>
      <c r="H11" s="256">
        <v>17</v>
      </c>
    </row>
    <row r="12" spans="1:8" ht="16.2" thickBot="1" x14ac:dyDescent="0.35">
      <c r="A12" s="247" t="s">
        <v>154</v>
      </c>
      <c r="B12" s="248">
        <v>29</v>
      </c>
      <c r="C12" s="249">
        <v>44097</v>
      </c>
      <c r="D12" s="250" t="s">
        <v>170</v>
      </c>
      <c r="E12" s="250" t="s">
        <v>171</v>
      </c>
      <c r="F12" s="248" t="s">
        <v>161</v>
      </c>
      <c r="G12" s="251" t="s">
        <v>162</v>
      </c>
      <c r="H12" s="248">
        <v>5</v>
      </c>
    </row>
    <row r="13" spans="1:8" ht="16.2" thickBot="1" x14ac:dyDescent="0.35">
      <c r="A13" s="247" t="s">
        <v>154</v>
      </c>
      <c r="B13" s="248">
        <v>25</v>
      </c>
      <c r="C13" s="249">
        <v>44097</v>
      </c>
      <c r="D13" s="250" t="s">
        <v>172</v>
      </c>
      <c r="E13" s="250" t="s">
        <v>173</v>
      </c>
      <c r="F13" s="248" t="s">
        <v>161</v>
      </c>
      <c r="G13" s="251" t="s">
        <v>162</v>
      </c>
      <c r="H13" s="248">
        <v>5</v>
      </c>
    </row>
    <row r="14" spans="1:8" ht="16.2" thickBot="1" x14ac:dyDescent="0.35">
      <c r="A14" s="247" t="s">
        <v>154</v>
      </c>
      <c r="B14" s="248">
        <v>28</v>
      </c>
      <c r="C14" s="249">
        <v>44097</v>
      </c>
      <c r="D14" s="250" t="s">
        <v>174</v>
      </c>
      <c r="E14" s="250" t="s">
        <v>173</v>
      </c>
      <c r="F14" s="248" t="s">
        <v>161</v>
      </c>
      <c r="G14" s="251" t="s">
        <v>162</v>
      </c>
      <c r="H14" s="248">
        <v>4</v>
      </c>
    </row>
    <row r="15" spans="1:8" ht="16.2" thickBot="1" x14ac:dyDescent="0.35">
      <c r="A15" s="247" t="s">
        <v>154</v>
      </c>
      <c r="B15" s="248">
        <v>34</v>
      </c>
      <c r="C15" s="249">
        <v>44097</v>
      </c>
      <c r="D15" s="250" t="s">
        <v>175</v>
      </c>
      <c r="E15" s="250" t="s">
        <v>173</v>
      </c>
      <c r="F15" s="248" t="s">
        <v>161</v>
      </c>
      <c r="G15" s="251" t="s">
        <v>162</v>
      </c>
      <c r="H15" s="248">
        <v>5</v>
      </c>
    </row>
    <row r="16" spans="1:8" ht="16.2" thickBot="1" x14ac:dyDescent="0.35">
      <c r="A16" s="252"/>
      <c r="B16" s="253"/>
      <c r="C16" s="253"/>
      <c r="D16" s="254"/>
      <c r="E16" s="254"/>
      <c r="F16" s="253"/>
      <c r="G16" s="255"/>
      <c r="H16" s="256">
        <v>19</v>
      </c>
    </row>
  </sheetData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M26"/>
  <sheetViews>
    <sheetView workbookViewId="0">
      <selection activeCell="I3" sqref="I3"/>
    </sheetView>
  </sheetViews>
  <sheetFormatPr defaultColWidth="9.109375" defaultRowHeight="14.4" x14ac:dyDescent="0.3"/>
  <cols>
    <col min="1" max="1" width="11.44140625" style="1" bestFit="1" customWidth="1"/>
    <col min="2" max="2" width="9.109375" style="1"/>
    <col min="3" max="3" width="10.44140625" style="1" customWidth="1"/>
    <col min="4" max="4" width="9.109375" style="1"/>
    <col min="5" max="5" width="14.109375" style="1" bestFit="1" customWidth="1"/>
    <col min="6" max="6" width="11.6640625" style="1" customWidth="1"/>
    <col min="7" max="16384" width="9.109375" style="1"/>
  </cols>
  <sheetData>
    <row r="1" spans="1:13" ht="15.6" x14ac:dyDescent="0.3">
      <c r="A1" s="485" t="s">
        <v>132</v>
      </c>
      <c r="B1" s="486"/>
      <c r="C1" s="486"/>
      <c r="D1" s="486"/>
      <c r="E1" s="486"/>
      <c r="F1" s="487"/>
    </row>
    <row r="2" spans="1:13" x14ac:dyDescent="0.3">
      <c r="A2" s="222" t="s">
        <v>133</v>
      </c>
      <c r="B2" s="223" t="s">
        <v>125</v>
      </c>
      <c r="C2" s="240" t="s">
        <v>0</v>
      </c>
      <c r="D2" s="223" t="s">
        <v>134</v>
      </c>
      <c r="E2" s="223" t="s">
        <v>10</v>
      </c>
      <c r="F2" s="224" t="s">
        <v>144</v>
      </c>
    </row>
    <row r="3" spans="1:13" x14ac:dyDescent="0.3">
      <c r="A3" s="222" t="s">
        <v>135</v>
      </c>
      <c r="B3" s="223">
        <v>22</v>
      </c>
      <c r="C3" s="238">
        <v>3</v>
      </c>
      <c r="D3" s="223">
        <v>12</v>
      </c>
      <c r="E3" s="223">
        <v>2</v>
      </c>
      <c r="F3" s="224">
        <v>0</v>
      </c>
    </row>
    <row r="4" spans="1:13" x14ac:dyDescent="0.3">
      <c r="A4" s="220"/>
      <c r="B4" s="219"/>
      <c r="C4" s="239"/>
      <c r="D4" s="219"/>
      <c r="E4" s="219"/>
      <c r="F4" s="221"/>
    </row>
    <row r="5" spans="1:13" ht="15" thickBot="1" x14ac:dyDescent="0.35">
      <c r="A5" s="225" t="s">
        <v>142</v>
      </c>
      <c r="B5" s="226">
        <v>68</v>
      </c>
      <c r="C5" s="226">
        <v>6</v>
      </c>
      <c r="D5" s="226">
        <v>24</v>
      </c>
      <c r="E5" s="226">
        <v>0</v>
      </c>
      <c r="F5" s="227">
        <v>2</v>
      </c>
    </row>
    <row r="6" spans="1:13" x14ac:dyDescent="0.3">
      <c r="A6" s="220"/>
      <c r="B6" s="219"/>
      <c r="C6" s="239"/>
      <c r="D6" s="219"/>
      <c r="E6" s="219"/>
      <c r="F6" s="221"/>
    </row>
    <row r="7" spans="1:13" ht="15" thickBot="1" x14ac:dyDescent="0.35">
      <c r="A7" s="225" t="s">
        <v>143</v>
      </c>
      <c r="B7" s="226">
        <v>1</v>
      </c>
      <c r="C7" s="226"/>
      <c r="D7" s="226">
        <v>0</v>
      </c>
      <c r="E7" s="226">
        <v>0</v>
      </c>
      <c r="F7" s="227">
        <v>0</v>
      </c>
    </row>
    <row r="8" spans="1:13" ht="15" thickBot="1" x14ac:dyDescent="0.35"/>
    <row r="9" spans="1:13" ht="15" thickBot="1" x14ac:dyDescent="0.35">
      <c r="A9" s="234" t="s">
        <v>21</v>
      </c>
      <c r="B9" s="235">
        <v>1</v>
      </c>
      <c r="C9" s="237"/>
      <c r="D9" s="488" t="s">
        <v>145</v>
      </c>
      <c r="E9" s="489"/>
      <c r="F9" s="236">
        <v>1</v>
      </c>
      <c r="K9" s="484" t="s">
        <v>136</v>
      </c>
      <c r="L9" s="484"/>
      <c r="M9" s="484"/>
    </row>
    <row r="10" spans="1:13" x14ac:dyDescent="0.3">
      <c r="K10" s="229">
        <v>10</v>
      </c>
      <c r="L10" s="484" t="s">
        <v>137</v>
      </c>
      <c r="M10" s="484"/>
    </row>
    <row r="11" spans="1:13" x14ac:dyDescent="0.3">
      <c r="K11" s="229">
        <v>2</v>
      </c>
      <c r="L11" s="484" t="s">
        <v>138</v>
      </c>
      <c r="M11" s="484"/>
    </row>
    <row r="12" spans="1:13" x14ac:dyDescent="0.3">
      <c r="K12" s="229">
        <v>2</v>
      </c>
      <c r="L12" s="484" t="s">
        <v>139</v>
      </c>
      <c r="M12" s="484"/>
    </row>
    <row r="13" spans="1:13" x14ac:dyDescent="0.3">
      <c r="K13" s="229">
        <v>2</v>
      </c>
      <c r="L13" s="484" t="s">
        <v>11</v>
      </c>
      <c r="M13" s="484"/>
    </row>
    <row r="14" spans="1:13" x14ac:dyDescent="0.3">
      <c r="K14" s="229">
        <v>8</v>
      </c>
      <c r="L14" s="484" t="s">
        <v>140</v>
      </c>
      <c r="M14" s="484"/>
    </row>
    <row r="17" spans="2:13" x14ac:dyDescent="0.3">
      <c r="B17" s="230"/>
      <c r="C17" s="230"/>
      <c r="D17" s="233"/>
    </row>
    <row r="18" spans="2:13" x14ac:dyDescent="0.3">
      <c r="B18" s="94"/>
      <c r="C18" s="94"/>
      <c r="D18" s="232"/>
    </row>
    <row r="19" spans="2:13" x14ac:dyDescent="0.3">
      <c r="B19" s="94"/>
      <c r="C19" s="94"/>
      <c r="D19" s="232"/>
    </row>
    <row r="20" spans="2:13" x14ac:dyDescent="0.3">
      <c r="B20" s="94"/>
      <c r="C20" s="94"/>
      <c r="D20" s="232"/>
    </row>
    <row r="21" spans="2:13" x14ac:dyDescent="0.3">
      <c r="B21" s="94"/>
      <c r="C21" s="94"/>
      <c r="D21" s="232"/>
    </row>
    <row r="22" spans="2:13" x14ac:dyDescent="0.3">
      <c r="B22" s="94"/>
      <c r="C22" s="94"/>
      <c r="D22" s="232"/>
    </row>
    <row r="23" spans="2:13" x14ac:dyDescent="0.3">
      <c r="B23" s="94"/>
      <c r="C23" s="94"/>
      <c r="D23" s="232"/>
    </row>
    <row r="26" spans="2:13" x14ac:dyDescent="0.3">
      <c r="M26" s="230"/>
    </row>
  </sheetData>
  <mergeCells count="8">
    <mergeCell ref="L13:M13"/>
    <mergeCell ref="L14:M14"/>
    <mergeCell ref="A1:F1"/>
    <mergeCell ref="K9:M9"/>
    <mergeCell ref="L11:M11"/>
    <mergeCell ref="L10:M10"/>
    <mergeCell ref="L12:M12"/>
    <mergeCell ref="D9:E9"/>
  </mergeCells>
  <pageMargins left="0.511811024" right="0.511811024" top="0.78740157499999996" bottom="0.78740157499999996" header="0.31496062000000002" footer="0.31496062000000002"/>
  <pageSetup paperSize="9" scale="111" orientation="portrait" r:id="rId1"/>
  <colBreaks count="1" manualBreakCount="1"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E50"/>
  <sheetViews>
    <sheetView view="pageBreakPreview" zoomScale="60" workbookViewId="0">
      <selection activeCell="I3" sqref="I3"/>
    </sheetView>
  </sheetViews>
  <sheetFormatPr defaultColWidth="9.109375" defaultRowHeight="14.4" x14ac:dyDescent="0.3"/>
  <cols>
    <col min="1" max="1" width="11" style="1" customWidth="1"/>
    <col min="2" max="2" width="10.44140625" style="1" customWidth="1"/>
    <col min="3" max="3" width="46.44140625" style="1" customWidth="1"/>
    <col min="4" max="4" width="22.88671875" style="1" customWidth="1"/>
    <col min="5" max="16384" width="9.109375" style="1"/>
  </cols>
  <sheetData>
    <row r="1" spans="1:5" ht="15" thickBot="1" x14ac:dyDescent="0.35">
      <c r="A1" s="120" t="s">
        <v>28</v>
      </c>
      <c r="B1" s="120" t="s">
        <v>53</v>
      </c>
      <c r="C1" s="120" t="s">
        <v>52</v>
      </c>
      <c r="D1" s="120" t="s">
        <v>54</v>
      </c>
      <c r="E1" s="119" t="s">
        <v>100</v>
      </c>
    </row>
    <row r="2" spans="1:5" x14ac:dyDescent="0.3">
      <c r="A2" s="122"/>
      <c r="B2" s="123"/>
      <c r="C2" s="123"/>
      <c r="D2" s="124"/>
    </row>
    <row r="3" spans="1:5" x14ac:dyDescent="0.3">
      <c r="A3" s="56"/>
      <c r="B3" s="121"/>
      <c r="C3" s="121"/>
      <c r="D3" s="125"/>
    </row>
    <row r="4" spans="1:5" x14ac:dyDescent="0.3">
      <c r="A4" s="56"/>
      <c r="B4" s="121"/>
      <c r="C4" s="121"/>
      <c r="D4" s="125"/>
    </row>
    <row r="5" spans="1:5" x14ac:dyDescent="0.3">
      <c r="A5" s="56"/>
      <c r="B5" s="121"/>
      <c r="C5" s="121"/>
      <c r="D5" s="125"/>
    </row>
    <row r="6" spans="1:5" x14ac:dyDescent="0.3">
      <c r="A6" s="56"/>
      <c r="B6" s="121"/>
      <c r="C6" s="121"/>
      <c r="D6" s="125"/>
    </row>
    <row r="7" spans="1:5" x14ac:dyDescent="0.3">
      <c r="A7" s="56"/>
      <c r="B7" s="121"/>
      <c r="C7" s="121"/>
      <c r="D7" s="125"/>
    </row>
    <row r="8" spans="1:5" x14ac:dyDescent="0.3">
      <c r="A8" s="56"/>
      <c r="B8" s="121"/>
      <c r="C8" s="121"/>
      <c r="D8" s="125"/>
    </row>
    <row r="9" spans="1:5" x14ac:dyDescent="0.3">
      <c r="A9" s="56"/>
      <c r="B9" s="121"/>
      <c r="C9" s="121"/>
      <c r="D9" s="125"/>
    </row>
    <row r="10" spans="1:5" x14ac:dyDescent="0.3">
      <c r="A10" s="56"/>
      <c r="B10" s="121"/>
      <c r="C10" s="121"/>
      <c r="D10" s="125"/>
    </row>
    <row r="11" spans="1:5" x14ac:dyDescent="0.3">
      <c r="A11" s="56"/>
      <c r="B11" s="121"/>
      <c r="C11" s="121"/>
      <c r="D11" s="125"/>
    </row>
    <row r="12" spans="1:5" x14ac:dyDescent="0.3">
      <c r="A12" s="56"/>
      <c r="B12" s="121"/>
      <c r="C12" s="121"/>
      <c r="D12" s="125"/>
    </row>
    <row r="13" spans="1:5" x14ac:dyDescent="0.3">
      <c r="A13" s="56"/>
      <c r="B13" s="121"/>
      <c r="C13" s="121"/>
      <c r="D13" s="125"/>
    </row>
    <row r="14" spans="1:5" x14ac:dyDescent="0.3">
      <c r="A14" s="56"/>
      <c r="B14" s="121"/>
      <c r="C14" s="121"/>
      <c r="D14" s="125"/>
    </row>
    <row r="15" spans="1:5" x14ac:dyDescent="0.3">
      <c r="A15" s="56"/>
      <c r="B15" s="121"/>
      <c r="C15" s="121"/>
      <c r="D15" s="125"/>
    </row>
    <row r="16" spans="1:5" x14ac:dyDescent="0.3">
      <c r="A16" s="56"/>
      <c r="B16" s="121"/>
      <c r="C16" s="121"/>
      <c r="D16" s="125"/>
    </row>
    <row r="17" spans="1:4" x14ac:dyDescent="0.3">
      <c r="A17" s="56"/>
      <c r="B17" s="121"/>
      <c r="C17" s="121"/>
      <c r="D17" s="125"/>
    </row>
    <row r="18" spans="1:4" x14ac:dyDescent="0.3">
      <c r="A18" s="56"/>
      <c r="B18" s="121"/>
      <c r="C18" s="121"/>
      <c r="D18" s="125"/>
    </row>
    <row r="19" spans="1:4" x14ac:dyDescent="0.3">
      <c r="A19" s="56"/>
      <c r="B19" s="121"/>
      <c r="C19" s="121"/>
      <c r="D19" s="125"/>
    </row>
    <row r="20" spans="1:4" x14ac:dyDescent="0.3">
      <c r="A20" s="56"/>
      <c r="B20" s="121"/>
      <c r="C20" s="121"/>
      <c r="D20" s="125"/>
    </row>
    <row r="21" spans="1:4" x14ac:dyDescent="0.3">
      <c r="A21" s="56"/>
      <c r="B21" s="121"/>
      <c r="C21" s="121"/>
      <c r="D21" s="125"/>
    </row>
    <row r="22" spans="1:4" x14ac:dyDescent="0.3">
      <c r="A22" s="56"/>
      <c r="B22" s="121"/>
      <c r="C22" s="121"/>
      <c r="D22" s="125"/>
    </row>
    <row r="23" spans="1:4" x14ac:dyDescent="0.3">
      <c r="A23" s="56"/>
      <c r="B23" s="121"/>
      <c r="C23" s="121"/>
      <c r="D23" s="125"/>
    </row>
    <row r="24" spans="1:4" x14ac:dyDescent="0.3">
      <c r="A24" s="56"/>
      <c r="B24" s="121"/>
      <c r="C24" s="121"/>
      <c r="D24" s="125"/>
    </row>
    <row r="25" spans="1:4" x14ac:dyDescent="0.3">
      <c r="A25" s="56"/>
      <c r="B25" s="121"/>
      <c r="C25" s="121"/>
      <c r="D25" s="125"/>
    </row>
    <row r="26" spans="1:4" x14ac:dyDescent="0.3">
      <c r="A26" s="56"/>
      <c r="B26" s="121"/>
      <c r="C26" s="121"/>
      <c r="D26" s="125"/>
    </row>
    <row r="27" spans="1:4" x14ac:dyDescent="0.3">
      <c r="A27" s="56"/>
      <c r="B27" s="121"/>
      <c r="C27" s="121"/>
      <c r="D27" s="125"/>
    </row>
    <row r="28" spans="1:4" x14ac:dyDescent="0.3">
      <c r="A28" s="56"/>
      <c r="B28" s="121"/>
      <c r="C28" s="121"/>
      <c r="D28" s="125"/>
    </row>
    <row r="29" spans="1:4" x14ac:dyDescent="0.3">
      <c r="A29" s="56"/>
      <c r="B29" s="121"/>
      <c r="C29" s="121"/>
      <c r="D29" s="125"/>
    </row>
    <row r="30" spans="1:4" x14ac:dyDescent="0.3">
      <c r="A30" s="56"/>
      <c r="B30" s="121"/>
      <c r="C30" s="121"/>
      <c r="D30" s="125"/>
    </row>
    <row r="31" spans="1:4" x14ac:dyDescent="0.3">
      <c r="A31" s="56"/>
      <c r="B31" s="121"/>
      <c r="C31" s="121"/>
      <c r="D31" s="125"/>
    </row>
    <row r="32" spans="1:4" x14ac:dyDescent="0.3">
      <c r="A32" s="56"/>
      <c r="B32" s="121"/>
      <c r="C32" s="121"/>
      <c r="D32" s="125"/>
    </row>
    <row r="33" spans="1:4" x14ac:dyDescent="0.3">
      <c r="A33" s="56"/>
      <c r="B33" s="121"/>
      <c r="C33" s="121"/>
      <c r="D33" s="125"/>
    </row>
    <row r="34" spans="1:4" x14ac:dyDescent="0.3">
      <c r="A34" s="56"/>
      <c r="B34" s="121"/>
      <c r="C34" s="121"/>
      <c r="D34" s="125"/>
    </row>
    <row r="35" spans="1:4" x14ac:dyDescent="0.3">
      <c r="A35" s="56"/>
      <c r="B35" s="121"/>
      <c r="C35" s="121"/>
      <c r="D35" s="125"/>
    </row>
    <row r="36" spans="1:4" x14ac:dyDescent="0.3">
      <c r="A36" s="56"/>
      <c r="B36" s="121"/>
      <c r="C36" s="121"/>
      <c r="D36" s="125"/>
    </row>
    <row r="37" spans="1:4" x14ac:dyDescent="0.3">
      <c r="A37" s="56"/>
      <c r="B37" s="121"/>
      <c r="C37" s="121"/>
      <c r="D37" s="125"/>
    </row>
    <row r="38" spans="1:4" x14ac:dyDescent="0.3">
      <c r="A38" s="56"/>
      <c r="B38" s="121"/>
      <c r="C38" s="121"/>
      <c r="D38" s="125"/>
    </row>
    <row r="39" spans="1:4" x14ac:dyDescent="0.3">
      <c r="A39" s="56"/>
      <c r="B39" s="121"/>
      <c r="C39" s="121"/>
      <c r="D39" s="125"/>
    </row>
    <row r="40" spans="1:4" x14ac:dyDescent="0.3">
      <c r="A40" s="56"/>
      <c r="B40" s="121"/>
      <c r="C40" s="121"/>
      <c r="D40" s="125"/>
    </row>
    <row r="41" spans="1:4" x14ac:dyDescent="0.3">
      <c r="A41" s="56"/>
      <c r="B41" s="121"/>
      <c r="C41" s="121"/>
      <c r="D41" s="125"/>
    </row>
    <row r="42" spans="1:4" x14ac:dyDescent="0.3">
      <c r="A42" s="56"/>
      <c r="B42" s="121"/>
      <c r="C42" s="121"/>
      <c r="D42" s="125"/>
    </row>
    <row r="43" spans="1:4" x14ac:dyDescent="0.3">
      <c r="A43" s="56"/>
      <c r="B43" s="121"/>
      <c r="C43" s="121"/>
      <c r="D43" s="125"/>
    </row>
    <row r="44" spans="1:4" x14ac:dyDescent="0.3">
      <c r="A44" s="56"/>
      <c r="B44" s="121"/>
      <c r="C44" s="121"/>
      <c r="D44" s="125"/>
    </row>
    <row r="45" spans="1:4" x14ac:dyDescent="0.3">
      <c r="A45" s="56"/>
      <c r="B45" s="121"/>
      <c r="C45" s="121"/>
      <c r="D45" s="125"/>
    </row>
    <row r="46" spans="1:4" x14ac:dyDescent="0.3">
      <c r="A46" s="56"/>
      <c r="B46" s="121"/>
      <c r="C46" s="121"/>
      <c r="D46" s="125"/>
    </row>
    <row r="47" spans="1:4" x14ac:dyDescent="0.3">
      <c r="A47" s="56"/>
      <c r="B47" s="121"/>
      <c r="C47" s="121"/>
      <c r="D47" s="125"/>
    </row>
    <row r="48" spans="1:4" x14ac:dyDescent="0.3">
      <c r="A48" s="56"/>
      <c r="B48" s="121"/>
      <c r="C48" s="121"/>
      <c r="D48" s="125"/>
    </row>
    <row r="49" spans="1:4" x14ac:dyDescent="0.3">
      <c r="A49" s="56"/>
      <c r="B49" s="121"/>
      <c r="C49" s="121"/>
      <c r="D49" s="125"/>
    </row>
    <row r="50" spans="1:4" ht="15" thickBot="1" x14ac:dyDescent="0.35">
      <c r="A50" s="57"/>
      <c r="B50" s="126"/>
      <c r="C50" s="126"/>
      <c r="D50" s="127"/>
    </row>
  </sheetData>
  <pageMargins left="0.25" right="0.25" top="0.75" bottom="0.75" header="0.3" footer="0.3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L36"/>
  <sheetViews>
    <sheetView workbookViewId="0">
      <selection activeCell="I3" sqref="I3"/>
    </sheetView>
  </sheetViews>
  <sheetFormatPr defaultColWidth="9.109375" defaultRowHeight="14.4" x14ac:dyDescent="0.3"/>
  <cols>
    <col min="1" max="12" width="14.6640625" style="1" customWidth="1"/>
    <col min="13" max="16384" width="9.109375" style="1"/>
  </cols>
  <sheetData>
    <row r="1" spans="1:12" ht="18.600000000000001" thickBot="1" x14ac:dyDescent="0.4">
      <c r="A1" s="490" t="s">
        <v>101</v>
      </c>
      <c r="B1" s="491"/>
      <c r="C1" s="491"/>
      <c r="D1" s="491"/>
      <c r="E1" s="128" t="s">
        <v>28</v>
      </c>
      <c r="F1" s="128" t="s">
        <v>102</v>
      </c>
      <c r="G1" s="490" t="s">
        <v>101</v>
      </c>
      <c r="H1" s="491"/>
      <c r="I1" s="491"/>
      <c r="J1" s="491"/>
      <c r="K1" s="128" t="s">
        <v>28</v>
      </c>
      <c r="L1" s="128" t="s">
        <v>102</v>
      </c>
    </row>
    <row r="2" spans="1:12" ht="18" customHeight="1" x14ac:dyDescent="0.3">
      <c r="A2" s="135" t="s">
        <v>103</v>
      </c>
      <c r="B2" s="132"/>
      <c r="C2" s="138" t="s">
        <v>104</v>
      </c>
      <c r="D2" s="132"/>
      <c r="E2" s="132"/>
      <c r="F2" s="129"/>
      <c r="G2" s="135" t="s">
        <v>103</v>
      </c>
      <c r="H2" s="132"/>
      <c r="I2" s="138" t="s">
        <v>104</v>
      </c>
      <c r="J2" s="143"/>
      <c r="K2" s="132"/>
      <c r="L2" s="129"/>
    </row>
    <row r="3" spans="1:12" ht="18" customHeight="1" x14ac:dyDescent="0.3">
      <c r="A3" s="136" t="s">
        <v>103</v>
      </c>
      <c r="B3" s="141"/>
      <c r="C3" s="139" t="s">
        <v>104</v>
      </c>
      <c r="D3" s="133"/>
      <c r="E3" s="133"/>
      <c r="F3" s="130"/>
      <c r="G3" s="136" t="s">
        <v>103</v>
      </c>
      <c r="H3" s="133"/>
      <c r="I3" s="139" t="s">
        <v>104</v>
      </c>
      <c r="J3" s="144"/>
      <c r="K3" s="133"/>
      <c r="L3" s="130"/>
    </row>
    <row r="4" spans="1:12" ht="18" customHeight="1" x14ac:dyDescent="0.3">
      <c r="A4" s="136" t="s">
        <v>103</v>
      </c>
      <c r="B4" s="141"/>
      <c r="C4" s="139" t="s">
        <v>104</v>
      </c>
      <c r="D4" s="133"/>
      <c r="E4" s="133"/>
      <c r="F4" s="130"/>
      <c r="G4" s="136" t="s">
        <v>103</v>
      </c>
      <c r="H4" s="133"/>
      <c r="I4" s="139" t="s">
        <v>104</v>
      </c>
      <c r="J4" s="144"/>
      <c r="K4" s="133"/>
      <c r="L4" s="130"/>
    </row>
    <row r="5" spans="1:12" ht="18" customHeight="1" x14ac:dyDescent="0.3">
      <c r="A5" s="136" t="s">
        <v>103</v>
      </c>
      <c r="B5" s="141"/>
      <c r="C5" s="139" t="s">
        <v>104</v>
      </c>
      <c r="D5" s="133"/>
      <c r="E5" s="133"/>
      <c r="F5" s="130"/>
      <c r="G5" s="136" t="s">
        <v>103</v>
      </c>
      <c r="H5" s="133"/>
      <c r="I5" s="139" t="s">
        <v>104</v>
      </c>
      <c r="J5" s="144"/>
      <c r="K5" s="133"/>
      <c r="L5" s="130"/>
    </row>
    <row r="6" spans="1:12" ht="18" customHeight="1" x14ac:dyDescent="0.3">
      <c r="A6" s="136" t="s">
        <v>103</v>
      </c>
      <c r="B6" s="141"/>
      <c r="C6" s="139" t="s">
        <v>104</v>
      </c>
      <c r="D6" s="133"/>
      <c r="E6" s="133"/>
      <c r="F6" s="130"/>
      <c r="G6" s="136" t="s">
        <v>103</v>
      </c>
      <c r="H6" s="133"/>
      <c r="I6" s="139" t="s">
        <v>104</v>
      </c>
      <c r="J6" s="144"/>
      <c r="K6" s="133"/>
      <c r="L6" s="130"/>
    </row>
    <row r="7" spans="1:12" ht="18" customHeight="1" x14ac:dyDescent="0.3">
      <c r="A7" s="136" t="s">
        <v>103</v>
      </c>
      <c r="B7" s="141"/>
      <c r="C7" s="139" t="s">
        <v>104</v>
      </c>
      <c r="D7" s="133"/>
      <c r="E7" s="133"/>
      <c r="F7" s="130"/>
      <c r="G7" s="136" t="s">
        <v>103</v>
      </c>
      <c r="H7" s="133"/>
      <c r="I7" s="139" t="s">
        <v>104</v>
      </c>
      <c r="J7" s="144"/>
      <c r="K7" s="133"/>
      <c r="L7" s="130"/>
    </row>
    <row r="8" spans="1:12" ht="18" customHeight="1" x14ac:dyDescent="0.3">
      <c r="A8" s="136" t="s">
        <v>103</v>
      </c>
      <c r="B8" s="141"/>
      <c r="C8" s="139" t="s">
        <v>104</v>
      </c>
      <c r="D8" s="133"/>
      <c r="E8" s="133"/>
      <c r="F8" s="130"/>
      <c r="G8" s="136" t="s">
        <v>103</v>
      </c>
      <c r="H8" s="133"/>
      <c r="I8" s="139" t="s">
        <v>104</v>
      </c>
      <c r="J8" s="144"/>
      <c r="K8" s="133"/>
      <c r="L8" s="130"/>
    </row>
    <row r="9" spans="1:12" ht="18" customHeight="1" x14ac:dyDescent="0.3">
      <c r="A9" s="136" t="s">
        <v>103</v>
      </c>
      <c r="B9" s="141"/>
      <c r="C9" s="139" t="s">
        <v>104</v>
      </c>
      <c r="D9" s="133"/>
      <c r="E9" s="133"/>
      <c r="F9" s="130"/>
      <c r="G9" s="136" t="s">
        <v>103</v>
      </c>
      <c r="H9" s="133"/>
      <c r="I9" s="139" t="s">
        <v>104</v>
      </c>
      <c r="J9" s="144"/>
      <c r="K9" s="133"/>
      <c r="L9" s="130"/>
    </row>
    <row r="10" spans="1:12" ht="18" customHeight="1" x14ac:dyDescent="0.3">
      <c r="A10" s="136" t="s">
        <v>103</v>
      </c>
      <c r="B10" s="141"/>
      <c r="C10" s="139" t="s">
        <v>104</v>
      </c>
      <c r="D10" s="133"/>
      <c r="E10" s="133"/>
      <c r="F10" s="130"/>
      <c r="G10" s="136" t="s">
        <v>103</v>
      </c>
      <c r="H10" s="133"/>
      <c r="I10" s="139" t="s">
        <v>104</v>
      </c>
      <c r="J10" s="144"/>
      <c r="K10" s="133"/>
      <c r="L10" s="130"/>
    </row>
    <row r="11" spans="1:12" ht="18" customHeight="1" x14ac:dyDescent="0.3">
      <c r="A11" s="136" t="s">
        <v>103</v>
      </c>
      <c r="B11" s="141"/>
      <c r="C11" s="139" t="s">
        <v>104</v>
      </c>
      <c r="D11" s="133"/>
      <c r="E11" s="133"/>
      <c r="F11" s="130"/>
      <c r="G11" s="136" t="s">
        <v>103</v>
      </c>
      <c r="H11" s="133"/>
      <c r="I11" s="139" t="s">
        <v>104</v>
      </c>
      <c r="J11" s="144"/>
      <c r="K11" s="133"/>
      <c r="L11" s="130"/>
    </row>
    <row r="12" spans="1:12" ht="18" customHeight="1" x14ac:dyDescent="0.3">
      <c r="A12" s="136" t="s">
        <v>103</v>
      </c>
      <c r="B12" s="141"/>
      <c r="C12" s="139" t="s">
        <v>104</v>
      </c>
      <c r="D12" s="133"/>
      <c r="E12" s="133"/>
      <c r="F12" s="130"/>
      <c r="G12" s="136" t="s">
        <v>103</v>
      </c>
      <c r="H12" s="133"/>
      <c r="I12" s="139" t="s">
        <v>104</v>
      </c>
      <c r="J12" s="144"/>
      <c r="K12" s="133"/>
      <c r="L12" s="130"/>
    </row>
    <row r="13" spans="1:12" ht="18" customHeight="1" x14ac:dyDescent="0.3">
      <c r="A13" s="136" t="s">
        <v>103</v>
      </c>
      <c r="B13" s="141"/>
      <c r="C13" s="139" t="s">
        <v>104</v>
      </c>
      <c r="D13" s="133"/>
      <c r="E13" s="133"/>
      <c r="F13" s="130"/>
      <c r="G13" s="136" t="s">
        <v>103</v>
      </c>
      <c r="H13" s="133"/>
      <c r="I13" s="139" t="s">
        <v>104</v>
      </c>
      <c r="J13" s="144"/>
      <c r="K13" s="133"/>
      <c r="L13" s="130"/>
    </row>
    <row r="14" spans="1:12" ht="18" customHeight="1" x14ac:dyDescent="0.3">
      <c r="A14" s="136" t="s">
        <v>103</v>
      </c>
      <c r="B14" s="141"/>
      <c r="C14" s="139" t="s">
        <v>104</v>
      </c>
      <c r="D14" s="133"/>
      <c r="E14" s="133"/>
      <c r="F14" s="130"/>
      <c r="G14" s="136" t="s">
        <v>103</v>
      </c>
      <c r="H14" s="133"/>
      <c r="I14" s="139" t="s">
        <v>104</v>
      </c>
      <c r="J14" s="144"/>
      <c r="K14" s="133"/>
      <c r="L14" s="130"/>
    </row>
    <row r="15" spans="1:12" ht="18" customHeight="1" x14ac:dyDescent="0.3">
      <c r="A15" s="136" t="s">
        <v>103</v>
      </c>
      <c r="B15" s="141"/>
      <c r="C15" s="139" t="s">
        <v>104</v>
      </c>
      <c r="D15" s="133"/>
      <c r="E15" s="133"/>
      <c r="F15" s="130"/>
      <c r="G15" s="136" t="s">
        <v>103</v>
      </c>
      <c r="H15" s="133"/>
      <c r="I15" s="139" t="s">
        <v>104</v>
      </c>
      <c r="J15" s="144"/>
      <c r="K15" s="133"/>
      <c r="L15" s="130"/>
    </row>
    <row r="16" spans="1:12" ht="18" customHeight="1" x14ac:dyDescent="0.3">
      <c r="A16" s="136" t="s">
        <v>103</v>
      </c>
      <c r="B16" s="141"/>
      <c r="C16" s="139" t="s">
        <v>104</v>
      </c>
      <c r="D16" s="133"/>
      <c r="E16" s="133"/>
      <c r="F16" s="130"/>
      <c r="G16" s="136" t="s">
        <v>103</v>
      </c>
      <c r="H16" s="133"/>
      <c r="I16" s="139" t="s">
        <v>104</v>
      </c>
      <c r="J16" s="144"/>
      <c r="K16" s="133"/>
      <c r="L16" s="130"/>
    </row>
    <row r="17" spans="1:12" ht="18" customHeight="1" x14ac:dyDescent="0.3">
      <c r="A17" s="136" t="s">
        <v>103</v>
      </c>
      <c r="B17" s="141"/>
      <c r="C17" s="139" t="s">
        <v>104</v>
      </c>
      <c r="D17" s="133"/>
      <c r="E17" s="133"/>
      <c r="F17" s="130"/>
      <c r="G17" s="136" t="s">
        <v>103</v>
      </c>
      <c r="H17" s="133"/>
      <c r="I17" s="139" t="s">
        <v>104</v>
      </c>
      <c r="J17" s="144"/>
      <c r="K17" s="133"/>
      <c r="L17" s="130"/>
    </row>
    <row r="18" spans="1:12" ht="18" customHeight="1" x14ac:dyDescent="0.3">
      <c r="A18" s="136" t="s">
        <v>103</v>
      </c>
      <c r="B18" s="141"/>
      <c r="C18" s="139" t="s">
        <v>104</v>
      </c>
      <c r="D18" s="133"/>
      <c r="E18" s="133"/>
      <c r="F18" s="130"/>
      <c r="G18" s="136" t="s">
        <v>103</v>
      </c>
      <c r="H18" s="133"/>
      <c r="I18" s="139" t="s">
        <v>104</v>
      </c>
      <c r="J18" s="144"/>
      <c r="K18" s="133"/>
      <c r="L18" s="130"/>
    </row>
    <row r="19" spans="1:12" ht="18" customHeight="1" x14ac:dyDescent="0.3">
      <c r="A19" s="136" t="s">
        <v>103</v>
      </c>
      <c r="B19" s="141"/>
      <c r="C19" s="139" t="s">
        <v>104</v>
      </c>
      <c r="D19" s="133"/>
      <c r="E19" s="133"/>
      <c r="F19" s="130"/>
      <c r="G19" s="136" t="s">
        <v>103</v>
      </c>
      <c r="H19" s="133"/>
      <c r="I19" s="139" t="s">
        <v>104</v>
      </c>
      <c r="J19" s="144"/>
      <c r="K19" s="133"/>
      <c r="L19" s="130"/>
    </row>
    <row r="20" spans="1:12" ht="18" customHeight="1" x14ac:dyDescent="0.3">
      <c r="A20" s="136" t="s">
        <v>103</v>
      </c>
      <c r="B20" s="141"/>
      <c r="C20" s="139" t="s">
        <v>104</v>
      </c>
      <c r="D20" s="133"/>
      <c r="E20" s="133"/>
      <c r="F20" s="130"/>
      <c r="G20" s="136" t="s">
        <v>103</v>
      </c>
      <c r="H20" s="133"/>
      <c r="I20" s="139" t="s">
        <v>104</v>
      </c>
      <c r="J20" s="144"/>
      <c r="K20" s="133"/>
      <c r="L20" s="130"/>
    </row>
    <row r="21" spans="1:12" ht="18" customHeight="1" x14ac:dyDescent="0.3">
      <c r="A21" s="136" t="s">
        <v>103</v>
      </c>
      <c r="B21" s="141"/>
      <c r="C21" s="139" t="s">
        <v>104</v>
      </c>
      <c r="D21" s="133"/>
      <c r="E21" s="133"/>
      <c r="F21" s="130"/>
      <c r="G21" s="136" t="s">
        <v>103</v>
      </c>
      <c r="H21" s="133"/>
      <c r="I21" s="139" t="s">
        <v>104</v>
      </c>
      <c r="J21" s="144"/>
      <c r="K21" s="133"/>
      <c r="L21" s="130"/>
    </row>
    <row r="22" spans="1:12" ht="18" customHeight="1" x14ac:dyDescent="0.3">
      <c r="A22" s="136" t="s">
        <v>103</v>
      </c>
      <c r="B22" s="141"/>
      <c r="C22" s="139" t="s">
        <v>104</v>
      </c>
      <c r="D22" s="133"/>
      <c r="E22" s="133"/>
      <c r="F22" s="130"/>
      <c r="G22" s="136" t="s">
        <v>103</v>
      </c>
      <c r="H22" s="133"/>
      <c r="I22" s="139" t="s">
        <v>104</v>
      </c>
      <c r="J22" s="144"/>
      <c r="K22" s="133"/>
      <c r="L22" s="130"/>
    </row>
    <row r="23" spans="1:12" ht="18" customHeight="1" x14ac:dyDescent="0.3">
      <c r="A23" s="136" t="s">
        <v>103</v>
      </c>
      <c r="B23" s="141"/>
      <c r="C23" s="139" t="s">
        <v>104</v>
      </c>
      <c r="D23" s="133"/>
      <c r="E23" s="133"/>
      <c r="F23" s="130"/>
      <c r="G23" s="136" t="s">
        <v>103</v>
      </c>
      <c r="H23" s="133"/>
      <c r="I23" s="139" t="s">
        <v>104</v>
      </c>
      <c r="J23" s="144"/>
      <c r="K23" s="133"/>
      <c r="L23" s="130"/>
    </row>
    <row r="24" spans="1:12" ht="18" customHeight="1" x14ac:dyDescent="0.3">
      <c r="A24" s="136" t="s">
        <v>103</v>
      </c>
      <c r="B24" s="141"/>
      <c r="C24" s="139" t="s">
        <v>104</v>
      </c>
      <c r="D24" s="133"/>
      <c r="E24" s="133"/>
      <c r="F24" s="130"/>
      <c r="G24" s="136" t="s">
        <v>103</v>
      </c>
      <c r="H24" s="133"/>
      <c r="I24" s="139" t="s">
        <v>104</v>
      </c>
      <c r="J24" s="144"/>
      <c r="K24" s="133"/>
      <c r="L24" s="130"/>
    </row>
    <row r="25" spans="1:12" ht="18" customHeight="1" x14ac:dyDescent="0.3">
      <c r="A25" s="136" t="s">
        <v>103</v>
      </c>
      <c r="B25" s="141"/>
      <c r="C25" s="139" t="s">
        <v>104</v>
      </c>
      <c r="D25" s="133"/>
      <c r="E25" s="133"/>
      <c r="F25" s="130"/>
      <c r="G25" s="136" t="s">
        <v>103</v>
      </c>
      <c r="H25" s="133"/>
      <c r="I25" s="139" t="s">
        <v>104</v>
      </c>
      <c r="J25" s="144"/>
      <c r="K25" s="133"/>
      <c r="L25" s="130"/>
    </row>
    <row r="26" spans="1:12" ht="18" customHeight="1" x14ac:dyDescent="0.3">
      <c r="A26" s="136" t="s">
        <v>103</v>
      </c>
      <c r="B26" s="141"/>
      <c r="C26" s="139" t="s">
        <v>104</v>
      </c>
      <c r="D26" s="133"/>
      <c r="E26" s="133"/>
      <c r="F26" s="130"/>
      <c r="G26" s="136" t="s">
        <v>103</v>
      </c>
      <c r="H26" s="133"/>
      <c r="I26" s="139" t="s">
        <v>104</v>
      </c>
      <c r="J26" s="144"/>
      <c r="K26" s="133"/>
      <c r="L26" s="130"/>
    </row>
    <row r="27" spans="1:12" ht="18" customHeight="1" x14ac:dyDescent="0.3">
      <c r="A27" s="136" t="s">
        <v>103</v>
      </c>
      <c r="B27" s="141"/>
      <c r="C27" s="139" t="s">
        <v>104</v>
      </c>
      <c r="D27" s="133"/>
      <c r="E27" s="133"/>
      <c r="F27" s="130"/>
      <c r="G27" s="136" t="s">
        <v>103</v>
      </c>
      <c r="H27" s="133"/>
      <c r="I27" s="139" t="s">
        <v>104</v>
      </c>
      <c r="J27" s="144"/>
      <c r="K27" s="133"/>
      <c r="L27" s="130"/>
    </row>
    <row r="28" spans="1:12" ht="18" customHeight="1" x14ac:dyDescent="0.3">
      <c r="A28" s="136" t="s">
        <v>103</v>
      </c>
      <c r="B28" s="141"/>
      <c r="C28" s="139" t="s">
        <v>104</v>
      </c>
      <c r="D28" s="133"/>
      <c r="E28" s="133"/>
      <c r="F28" s="130"/>
      <c r="G28" s="136" t="s">
        <v>103</v>
      </c>
      <c r="H28" s="133"/>
      <c r="I28" s="139" t="s">
        <v>104</v>
      </c>
      <c r="J28" s="144"/>
      <c r="K28" s="133"/>
      <c r="L28" s="130"/>
    </row>
    <row r="29" spans="1:12" ht="18" customHeight="1" x14ac:dyDescent="0.3">
      <c r="A29" s="136" t="s">
        <v>103</v>
      </c>
      <c r="B29" s="141"/>
      <c r="C29" s="139" t="s">
        <v>104</v>
      </c>
      <c r="D29" s="133"/>
      <c r="E29" s="133"/>
      <c r="F29" s="130"/>
      <c r="G29" s="136" t="s">
        <v>103</v>
      </c>
      <c r="H29" s="133"/>
      <c r="I29" s="139" t="s">
        <v>104</v>
      </c>
      <c r="J29" s="144"/>
      <c r="K29" s="133"/>
      <c r="L29" s="130"/>
    </row>
    <row r="30" spans="1:12" ht="18" customHeight="1" x14ac:dyDescent="0.3">
      <c r="A30" s="136" t="s">
        <v>103</v>
      </c>
      <c r="B30" s="141"/>
      <c r="C30" s="139" t="s">
        <v>104</v>
      </c>
      <c r="D30" s="133"/>
      <c r="E30" s="133"/>
      <c r="F30" s="130"/>
      <c r="G30" s="136" t="s">
        <v>103</v>
      </c>
      <c r="H30" s="133"/>
      <c r="I30" s="139" t="s">
        <v>104</v>
      </c>
      <c r="J30" s="144"/>
      <c r="K30" s="133"/>
      <c r="L30" s="130"/>
    </row>
    <row r="31" spans="1:12" ht="18" customHeight="1" x14ac:dyDescent="0.3">
      <c r="A31" s="136" t="s">
        <v>103</v>
      </c>
      <c r="B31" s="141"/>
      <c r="C31" s="139" t="s">
        <v>104</v>
      </c>
      <c r="D31" s="133"/>
      <c r="E31" s="133"/>
      <c r="F31" s="130"/>
      <c r="G31" s="136" t="s">
        <v>103</v>
      </c>
      <c r="H31" s="133"/>
      <c r="I31" s="139" t="s">
        <v>104</v>
      </c>
      <c r="J31" s="144"/>
      <c r="K31" s="133"/>
      <c r="L31" s="130"/>
    </row>
    <row r="32" spans="1:12" ht="18" customHeight="1" x14ac:dyDescent="0.3">
      <c r="A32" s="136" t="s">
        <v>103</v>
      </c>
      <c r="B32" s="141"/>
      <c r="C32" s="139" t="s">
        <v>104</v>
      </c>
      <c r="D32" s="133"/>
      <c r="E32" s="133"/>
      <c r="F32" s="130"/>
      <c r="G32" s="136" t="s">
        <v>103</v>
      </c>
      <c r="H32" s="133"/>
      <c r="I32" s="139" t="s">
        <v>104</v>
      </c>
      <c r="J32" s="144"/>
      <c r="K32" s="133"/>
      <c r="L32" s="130"/>
    </row>
    <row r="33" spans="1:12" ht="18" customHeight="1" x14ac:dyDescent="0.3">
      <c r="A33" s="136" t="s">
        <v>103</v>
      </c>
      <c r="B33" s="141"/>
      <c r="C33" s="139" t="s">
        <v>104</v>
      </c>
      <c r="D33" s="133"/>
      <c r="E33" s="133"/>
      <c r="F33" s="130"/>
      <c r="G33" s="136" t="s">
        <v>103</v>
      </c>
      <c r="H33" s="133"/>
      <c r="I33" s="139" t="s">
        <v>104</v>
      </c>
      <c r="J33" s="144"/>
      <c r="K33" s="133"/>
      <c r="L33" s="130"/>
    </row>
    <row r="34" spans="1:12" ht="18" customHeight="1" x14ac:dyDescent="0.3">
      <c r="A34" s="136" t="s">
        <v>103</v>
      </c>
      <c r="B34" s="141"/>
      <c r="C34" s="139" t="s">
        <v>104</v>
      </c>
      <c r="D34" s="133"/>
      <c r="E34" s="133"/>
      <c r="F34" s="130"/>
      <c r="G34" s="136" t="s">
        <v>103</v>
      </c>
      <c r="H34" s="133"/>
      <c r="I34" s="139" t="s">
        <v>104</v>
      </c>
      <c r="J34" s="144"/>
      <c r="K34" s="133"/>
      <c r="L34" s="130"/>
    </row>
    <row r="35" spans="1:12" ht="18" customHeight="1" x14ac:dyDescent="0.3">
      <c r="A35" s="136" t="s">
        <v>103</v>
      </c>
      <c r="B35" s="141"/>
      <c r="C35" s="139" t="s">
        <v>104</v>
      </c>
      <c r="D35" s="133"/>
      <c r="E35" s="133"/>
      <c r="F35" s="130"/>
      <c r="G35" s="136" t="s">
        <v>103</v>
      </c>
      <c r="H35" s="133"/>
      <c r="I35" s="139" t="s">
        <v>104</v>
      </c>
      <c r="J35" s="144"/>
      <c r="K35" s="133"/>
      <c r="L35" s="130"/>
    </row>
    <row r="36" spans="1:12" ht="18" customHeight="1" thickBot="1" x14ac:dyDescent="0.35">
      <c r="A36" s="137" t="s">
        <v>103</v>
      </c>
      <c r="B36" s="142"/>
      <c r="C36" s="140" t="s">
        <v>104</v>
      </c>
      <c r="D36" s="134"/>
      <c r="E36" s="134"/>
      <c r="F36" s="131"/>
      <c r="G36" s="137" t="s">
        <v>103</v>
      </c>
      <c r="H36" s="134"/>
      <c r="I36" s="140" t="s">
        <v>104</v>
      </c>
      <c r="J36" s="145"/>
      <c r="K36" s="134"/>
      <c r="L36" s="131"/>
    </row>
  </sheetData>
  <mergeCells count="2">
    <mergeCell ref="A1:D1"/>
    <mergeCell ref="G1:J1"/>
  </mergeCells>
  <pageMargins left="0.25" right="0.25" top="0.75" bottom="0.75" header="0.3" footer="0.3"/>
  <pageSetup paperSize="9" scale="7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F13"/>
  <sheetViews>
    <sheetView workbookViewId="0">
      <selection activeCell="F13" sqref="A1:F13"/>
    </sheetView>
  </sheetViews>
  <sheetFormatPr defaultColWidth="9.109375" defaultRowHeight="14.4" x14ac:dyDescent="0.3"/>
  <cols>
    <col min="1" max="16384" width="9.109375" style="188"/>
  </cols>
  <sheetData>
    <row r="1" spans="1:6" x14ac:dyDescent="0.3">
      <c r="A1" s="492" t="s">
        <v>124</v>
      </c>
      <c r="B1" s="492"/>
      <c r="C1" s="492"/>
      <c r="D1" s="492"/>
      <c r="E1" s="187" t="s">
        <v>125</v>
      </c>
      <c r="F1" s="187" t="s">
        <v>123</v>
      </c>
    </row>
    <row r="2" spans="1:6" x14ac:dyDescent="0.3">
      <c r="A2" s="186" t="s">
        <v>119</v>
      </c>
      <c r="B2" s="189">
        <v>3</v>
      </c>
      <c r="C2" s="190">
        <v>42249</v>
      </c>
      <c r="D2" s="191">
        <v>15</v>
      </c>
      <c r="E2" s="192">
        <v>20</v>
      </c>
      <c r="F2" s="193"/>
    </row>
    <row r="3" spans="1:6" x14ac:dyDescent="0.3">
      <c r="A3" s="186" t="s">
        <v>116</v>
      </c>
      <c r="B3" s="189">
        <v>4</v>
      </c>
      <c r="C3" s="190">
        <v>42249</v>
      </c>
      <c r="D3" s="191">
        <v>6</v>
      </c>
      <c r="E3" s="192">
        <v>7</v>
      </c>
      <c r="F3" s="193"/>
    </row>
    <row r="4" spans="1:6" x14ac:dyDescent="0.3">
      <c r="A4" s="194" t="s">
        <v>117</v>
      </c>
      <c r="B4" s="195">
        <v>12</v>
      </c>
      <c r="C4" s="190">
        <v>42249</v>
      </c>
      <c r="D4" s="191">
        <v>8</v>
      </c>
      <c r="E4" s="192">
        <v>9</v>
      </c>
      <c r="F4" s="187">
        <v>107</v>
      </c>
    </row>
    <row r="5" spans="1:6" x14ac:dyDescent="0.3">
      <c r="A5" s="194" t="s">
        <v>117</v>
      </c>
      <c r="B5" s="195">
        <v>37</v>
      </c>
      <c r="C5" s="190">
        <v>42249</v>
      </c>
      <c r="D5" s="191">
        <v>9</v>
      </c>
      <c r="E5" s="192">
        <v>10</v>
      </c>
      <c r="F5" s="193"/>
    </row>
    <row r="6" spans="1:6" x14ac:dyDescent="0.3">
      <c r="A6" s="194" t="s">
        <v>117</v>
      </c>
      <c r="B6" s="195">
        <v>18</v>
      </c>
      <c r="C6" s="190">
        <v>42249</v>
      </c>
      <c r="D6" s="191">
        <v>10</v>
      </c>
      <c r="E6" s="192">
        <v>11</v>
      </c>
      <c r="F6" s="193"/>
    </row>
    <row r="7" spans="1:6" x14ac:dyDescent="0.3">
      <c r="A7" s="196" t="s">
        <v>120</v>
      </c>
      <c r="B7" s="197" t="s">
        <v>121</v>
      </c>
      <c r="C7" s="190">
        <v>42249</v>
      </c>
      <c r="D7" s="186">
        <v>50</v>
      </c>
      <c r="E7" s="192">
        <v>50</v>
      </c>
      <c r="F7" s="193"/>
    </row>
    <row r="8" spans="1:6" x14ac:dyDescent="0.3">
      <c r="A8" s="186" t="s">
        <v>119</v>
      </c>
      <c r="B8" s="189" t="s">
        <v>122</v>
      </c>
      <c r="C8" s="190">
        <v>42250</v>
      </c>
      <c r="D8" s="191">
        <v>20</v>
      </c>
      <c r="E8" s="192">
        <v>12</v>
      </c>
      <c r="F8" s="193"/>
    </row>
    <row r="9" spans="1:6" x14ac:dyDescent="0.3">
      <c r="A9" s="186" t="s">
        <v>116</v>
      </c>
      <c r="B9" s="189">
        <v>3</v>
      </c>
      <c r="C9" s="190">
        <v>42250</v>
      </c>
      <c r="D9" s="191">
        <v>6</v>
      </c>
      <c r="E9" s="192">
        <v>7</v>
      </c>
      <c r="F9" s="193"/>
    </row>
    <row r="10" spans="1:6" x14ac:dyDescent="0.3">
      <c r="A10" s="194" t="s">
        <v>117</v>
      </c>
      <c r="B10" s="195">
        <v>17</v>
      </c>
      <c r="C10" s="190">
        <v>42250</v>
      </c>
      <c r="D10" s="191">
        <v>8</v>
      </c>
      <c r="E10" s="192">
        <v>9</v>
      </c>
      <c r="F10" s="187">
        <v>107</v>
      </c>
    </row>
    <row r="11" spans="1:6" x14ac:dyDescent="0.3">
      <c r="A11" s="194" t="s">
        <v>117</v>
      </c>
      <c r="B11" s="195">
        <v>21</v>
      </c>
      <c r="C11" s="190">
        <v>42250</v>
      </c>
      <c r="D11" s="191">
        <v>12</v>
      </c>
      <c r="E11" s="192">
        <v>13</v>
      </c>
      <c r="F11" s="193"/>
    </row>
    <row r="12" spans="1:6" x14ac:dyDescent="0.3">
      <c r="A12" s="194" t="s">
        <v>117</v>
      </c>
      <c r="B12" s="195">
        <v>43</v>
      </c>
      <c r="C12" s="190">
        <v>42250</v>
      </c>
      <c r="D12" s="191">
        <v>8</v>
      </c>
      <c r="E12" s="192">
        <v>9</v>
      </c>
      <c r="F12" s="193"/>
    </row>
    <row r="13" spans="1:6" x14ac:dyDescent="0.3">
      <c r="A13" s="198" t="s">
        <v>118</v>
      </c>
      <c r="B13" s="189">
        <v>2</v>
      </c>
      <c r="C13" s="190">
        <v>42250</v>
      </c>
      <c r="D13" s="191">
        <v>44</v>
      </c>
      <c r="E13" s="192">
        <v>37</v>
      </c>
      <c r="F13" s="193"/>
    </row>
  </sheetData>
  <mergeCells count="1">
    <mergeCell ref="A1:D1"/>
  </mergeCells>
  <conditionalFormatting sqref="B2">
    <cfRule type="duplicateValues" dxfId="139" priority="140"/>
  </conditionalFormatting>
  <conditionalFormatting sqref="B3">
    <cfRule type="duplicateValues" dxfId="138" priority="139"/>
  </conditionalFormatting>
  <conditionalFormatting sqref="B5">
    <cfRule type="duplicateValues" dxfId="137" priority="138"/>
  </conditionalFormatting>
  <conditionalFormatting sqref="B2">
    <cfRule type="duplicateValues" dxfId="136" priority="137"/>
  </conditionalFormatting>
  <conditionalFormatting sqref="B2">
    <cfRule type="duplicateValues" dxfId="135" priority="136"/>
  </conditionalFormatting>
  <conditionalFormatting sqref="B8">
    <cfRule type="duplicateValues" dxfId="134" priority="135"/>
  </conditionalFormatting>
  <conditionalFormatting sqref="B9">
    <cfRule type="duplicateValues" dxfId="133" priority="134"/>
  </conditionalFormatting>
  <conditionalFormatting sqref="B10">
    <cfRule type="duplicateValues" dxfId="132" priority="133"/>
  </conditionalFormatting>
  <conditionalFormatting sqref="B13">
    <cfRule type="duplicateValues" dxfId="131" priority="132"/>
  </conditionalFormatting>
  <conditionalFormatting sqref="B4">
    <cfRule type="duplicateValues" dxfId="130" priority="131"/>
  </conditionalFormatting>
  <conditionalFormatting sqref="B11">
    <cfRule type="duplicateValues" dxfId="129" priority="130"/>
  </conditionalFormatting>
  <conditionalFormatting sqref="B2:B3">
    <cfRule type="duplicateValues" dxfId="128" priority="129"/>
  </conditionalFormatting>
  <conditionalFormatting sqref="B6">
    <cfRule type="duplicateValues" dxfId="127" priority="128"/>
  </conditionalFormatting>
  <conditionalFormatting sqref="B7">
    <cfRule type="duplicateValues" dxfId="126" priority="127"/>
  </conditionalFormatting>
  <conditionalFormatting sqref="B12">
    <cfRule type="duplicateValues" dxfId="125" priority="126"/>
  </conditionalFormatting>
  <conditionalFormatting sqref="B2">
    <cfRule type="duplicateValues" dxfId="124" priority="125"/>
  </conditionalFormatting>
  <conditionalFormatting sqref="B6">
    <cfRule type="duplicateValues" dxfId="123" priority="124"/>
  </conditionalFormatting>
  <conditionalFormatting sqref="B3">
    <cfRule type="duplicateValues" dxfId="122" priority="123"/>
  </conditionalFormatting>
  <conditionalFormatting sqref="B2">
    <cfRule type="duplicateValues" dxfId="121" priority="122"/>
  </conditionalFormatting>
  <conditionalFormatting sqref="B2">
    <cfRule type="duplicateValues" dxfId="120" priority="121"/>
  </conditionalFormatting>
  <conditionalFormatting sqref="B4">
    <cfRule type="duplicateValues" dxfId="119" priority="120"/>
  </conditionalFormatting>
  <conditionalFormatting sqref="B2:B3">
    <cfRule type="duplicateValues" dxfId="118" priority="119"/>
  </conditionalFormatting>
  <conditionalFormatting sqref="B2:B3">
    <cfRule type="duplicateValues" dxfId="117" priority="118"/>
  </conditionalFormatting>
  <conditionalFormatting sqref="B4">
    <cfRule type="duplicateValues" dxfId="116" priority="117"/>
  </conditionalFormatting>
  <conditionalFormatting sqref="B2:B3">
    <cfRule type="duplicateValues" dxfId="115" priority="116"/>
  </conditionalFormatting>
  <conditionalFormatting sqref="B2:B3">
    <cfRule type="duplicateValues" dxfId="114" priority="115"/>
  </conditionalFormatting>
  <conditionalFormatting sqref="B3">
    <cfRule type="duplicateValues" dxfId="113" priority="114"/>
  </conditionalFormatting>
  <conditionalFormatting sqref="B4">
    <cfRule type="duplicateValues" dxfId="112" priority="113"/>
  </conditionalFormatting>
  <conditionalFormatting sqref="B2:B3">
    <cfRule type="duplicateValues" dxfId="111" priority="112"/>
  </conditionalFormatting>
  <conditionalFormatting sqref="B2:B3">
    <cfRule type="duplicateValues" dxfId="110" priority="111"/>
  </conditionalFormatting>
  <conditionalFormatting sqref="B3">
    <cfRule type="duplicateValues" dxfId="109" priority="110"/>
  </conditionalFormatting>
  <conditionalFormatting sqref="B4">
    <cfRule type="duplicateValues" dxfId="108" priority="109"/>
  </conditionalFormatting>
  <conditionalFormatting sqref="B2:B3">
    <cfRule type="duplicateValues" dxfId="107" priority="108"/>
  </conditionalFormatting>
  <conditionalFormatting sqref="B2:B3">
    <cfRule type="duplicateValues" dxfId="106" priority="107"/>
  </conditionalFormatting>
  <conditionalFormatting sqref="B3">
    <cfRule type="duplicateValues" dxfId="105" priority="106"/>
  </conditionalFormatting>
  <conditionalFormatting sqref="B4">
    <cfRule type="duplicateValues" dxfId="104" priority="105"/>
  </conditionalFormatting>
  <conditionalFormatting sqref="B2:B3">
    <cfRule type="duplicateValues" dxfId="103" priority="104"/>
  </conditionalFormatting>
  <conditionalFormatting sqref="B2:B3">
    <cfRule type="duplicateValues" dxfId="102" priority="103"/>
  </conditionalFormatting>
  <conditionalFormatting sqref="B3">
    <cfRule type="duplicateValues" dxfId="101" priority="102"/>
  </conditionalFormatting>
  <conditionalFormatting sqref="B6">
    <cfRule type="duplicateValues" dxfId="100" priority="101"/>
  </conditionalFormatting>
  <conditionalFormatting sqref="B6">
    <cfRule type="duplicateValues" dxfId="99" priority="100"/>
  </conditionalFormatting>
  <conditionalFormatting sqref="B6">
    <cfRule type="duplicateValues" dxfId="98" priority="99"/>
  </conditionalFormatting>
  <conditionalFormatting sqref="B6">
    <cfRule type="duplicateValues" dxfId="97" priority="98"/>
  </conditionalFormatting>
  <conditionalFormatting sqref="B3">
    <cfRule type="duplicateValues" dxfId="96" priority="97"/>
  </conditionalFormatting>
  <conditionalFormatting sqref="B3">
    <cfRule type="duplicateValues" dxfId="95" priority="96"/>
  </conditionalFormatting>
  <conditionalFormatting sqref="B3">
    <cfRule type="duplicateValues" dxfId="94" priority="95"/>
  </conditionalFormatting>
  <conditionalFormatting sqref="B3">
    <cfRule type="duplicateValues" dxfId="93" priority="94"/>
  </conditionalFormatting>
  <conditionalFormatting sqref="B3">
    <cfRule type="duplicateValues" dxfId="92" priority="93"/>
  </conditionalFormatting>
  <conditionalFormatting sqref="B3">
    <cfRule type="duplicateValues" dxfId="91" priority="92"/>
  </conditionalFormatting>
  <conditionalFormatting sqref="B3">
    <cfRule type="duplicateValues" dxfId="90" priority="91"/>
  </conditionalFormatting>
  <conditionalFormatting sqref="B3">
    <cfRule type="duplicateValues" dxfId="89" priority="90"/>
  </conditionalFormatting>
  <conditionalFormatting sqref="B3">
    <cfRule type="duplicateValues" dxfId="88" priority="89"/>
  </conditionalFormatting>
  <conditionalFormatting sqref="B3">
    <cfRule type="duplicateValues" dxfId="87" priority="88"/>
  </conditionalFormatting>
  <conditionalFormatting sqref="B3">
    <cfRule type="duplicateValues" dxfId="86" priority="87"/>
  </conditionalFormatting>
  <conditionalFormatting sqref="B3">
    <cfRule type="duplicateValues" dxfId="85" priority="86"/>
  </conditionalFormatting>
  <conditionalFormatting sqref="B3">
    <cfRule type="duplicateValues" dxfId="84" priority="85"/>
  </conditionalFormatting>
  <conditionalFormatting sqref="B3">
    <cfRule type="duplicateValues" dxfId="83" priority="84"/>
  </conditionalFormatting>
  <conditionalFormatting sqref="B3">
    <cfRule type="duplicateValues" dxfId="82" priority="83"/>
  </conditionalFormatting>
  <conditionalFormatting sqref="B6">
    <cfRule type="duplicateValues" dxfId="81" priority="82"/>
  </conditionalFormatting>
  <conditionalFormatting sqref="B3">
    <cfRule type="duplicateValues" dxfId="80" priority="81"/>
  </conditionalFormatting>
  <conditionalFormatting sqref="B3">
    <cfRule type="duplicateValues" dxfId="79" priority="80"/>
  </conditionalFormatting>
  <conditionalFormatting sqref="B3">
    <cfRule type="duplicateValues" dxfId="78" priority="79"/>
  </conditionalFormatting>
  <conditionalFormatting sqref="B3">
    <cfRule type="duplicateValues" dxfId="77" priority="78"/>
  </conditionalFormatting>
  <conditionalFormatting sqref="B3">
    <cfRule type="duplicateValues" dxfId="76" priority="77"/>
  </conditionalFormatting>
  <conditionalFormatting sqref="B3">
    <cfRule type="duplicateValues" dxfId="75" priority="76"/>
  </conditionalFormatting>
  <conditionalFormatting sqref="B3">
    <cfRule type="duplicateValues" dxfId="74" priority="75"/>
  </conditionalFormatting>
  <conditionalFormatting sqref="B3">
    <cfRule type="duplicateValues" dxfId="73" priority="74"/>
  </conditionalFormatting>
  <conditionalFormatting sqref="B3">
    <cfRule type="duplicateValues" dxfId="72" priority="73"/>
  </conditionalFormatting>
  <conditionalFormatting sqref="B3">
    <cfRule type="duplicateValues" dxfId="71" priority="72"/>
  </conditionalFormatting>
  <conditionalFormatting sqref="B3">
    <cfRule type="duplicateValues" dxfId="70" priority="71"/>
  </conditionalFormatting>
  <conditionalFormatting sqref="B3">
    <cfRule type="duplicateValues" dxfId="69" priority="70"/>
  </conditionalFormatting>
  <conditionalFormatting sqref="B3">
    <cfRule type="duplicateValues" dxfId="68" priority="69"/>
  </conditionalFormatting>
  <conditionalFormatting sqref="B3">
    <cfRule type="duplicateValues" dxfId="67" priority="68"/>
  </conditionalFormatting>
  <conditionalFormatting sqref="B3">
    <cfRule type="duplicateValues" dxfId="66" priority="67"/>
  </conditionalFormatting>
  <conditionalFormatting sqref="B6">
    <cfRule type="duplicateValues" dxfId="65" priority="66"/>
  </conditionalFormatting>
  <conditionalFormatting sqref="B3">
    <cfRule type="duplicateValues" dxfId="64" priority="65"/>
  </conditionalFormatting>
  <conditionalFormatting sqref="B6">
    <cfRule type="duplicateValues" dxfId="63" priority="64"/>
  </conditionalFormatting>
  <conditionalFormatting sqref="B3">
    <cfRule type="duplicateValues" dxfId="62" priority="63"/>
  </conditionalFormatting>
  <conditionalFormatting sqref="B6">
    <cfRule type="duplicateValues" dxfId="61" priority="62"/>
  </conditionalFormatting>
  <conditionalFormatting sqref="B3">
    <cfRule type="duplicateValues" dxfId="60" priority="61"/>
  </conditionalFormatting>
  <conditionalFormatting sqref="B6">
    <cfRule type="duplicateValues" dxfId="59" priority="60"/>
  </conditionalFormatting>
  <conditionalFormatting sqref="B3">
    <cfRule type="duplicateValues" dxfId="58" priority="59"/>
  </conditionalFormatting>
  <conditionalFormatting sqref="B6">
    <cfRule type="duplicateValues" dxfId="57" priority="58"/>
  </conditionalFormatting>
  <conditionalFormatting sqref="B3">
    <cfRule type="duplicateValues" dxfId="56" priority="57"/>
  </conditionalFormatting>
  <conditionalFormatting sqref="B6">
    <cfRule type="duplicateValues" dxfId="55" priority="56"/>
  </conditionalFormatting>
  <conditionalFormatting sqref="B3">
    <cfRule type="duplicateValues" dxfId="54" priority="55"/>
  </conditionalFormatting>
  <conditionalFormatting sqref="B6">
    <cfRule type="duplicateValues" dxfId="53" priority="54"/>
  </conditionalFormatting>
  <conditionalFormatting sqref="B3">
    <cfRule type="duplicateValues" dxfId="52" priority="53"/>
  </conditionalFormatting>
  <conditionalFormatting sqref="B6">
    <cfRule type="duplicateValues" dxfId="51" priority="52"/>
  </conditionalFormatting>
  <conditionalFormatting sqref="B3">
    <cfRule type="duplicateValues" dxfId="50" priority="51"/>
  </conditionalFormatting>
  <conditionalFormatting sqref="B2">
    <cfRule type="duplicateValues" dxfId="49" priority="50"/>
  </conditionalFormatting>
  <conditionalFormatting sqref="B3">
    <cfRule type="duplicateValues" dxfId="48" priority="49"/>
  </conditionalFormatting>
  <conditionalFormatting sqref="B2">
    <cfRule type="duplicateValues" dxfId="47" priority="48"/>
  </conditionalFormatting>
  <conditionalFormatting sqref="B3">
    <cfRule type="duplicateValues" dxfId="46" priority="47"/>
  </conditionalFormatting>
  <conditionalFormatting sqref="B2">
    <cfRule type="duplicateValues" dxfId="45" priority="46"/>
  </conditionalFormatting>
  <conditionalFormatting sqref="B3">
    <cfRule type="duplicateValues" dxfId="44" priority="45"/>
  </conditionalFormatting>
  <conditionalFormatting sqref="B2">
    <cfRule type="duplicateValues" dxfId="43" priority="44"/>
  </conditionalFormatting>
  <conditionalFormatting sqref="B7">
    <cfRule type="duplicateValues" dxfId="42" priority="43"/>
  </conditionalFormatting>
  <conditionalFormatting sqref="B7">
    <cfRule type="duplicateValues" dxfId="41" priority="42"/>
  </conditionalFormatting>
  <conditionalFormatting sqref="B7">
    <cfRule type="duplicateValues" dxfId="40" priority="41"/>
  </conditionalFormatting>
  <conditionalFormatting sqref="B7">
    <cfRule type="duplicateValues" dxfId="39" priority="40"/>
  </conditionalFormatting>
  <conditionalFormatting sqref="B7">
    <cfRule type="duplicateValues" dxfId="38" priority="39"/>
  </conditionalFormatting>
  <conditionalFormatting sqref="B7">
    <cfRule type="duplicateValues" dxfId="37" priority="38"/>
  </conditionalFormatting>
  <conditionalFormatting sqref="B7">
    <cfRule type="duplicateValues" dxfId="36" priority="37"/>
  </conditionalFormatting>
  <conditionalFormatting sqref="B7">
    <cfRule type="duplicateValues" dxfId="35" priority="36"/>
  </conditionalFormatting>
  <conditionalFormatting sqref="B7">
    <cfRule type="duplicateValues" dxfId="34" priority="35"/>
  </conditionalFormatting>
  <conditionalFormatting sqref="B7">
    <cfRule type="duplicateValues" dxfId="33" priority="34"/>
  </conditionalFormatting>
  <conditionalFormatting sqref="B7">
    <cfRule type="duplicateValues" dxfId="32" priority="33"/>
  </conditionalFormatting>
  <conditionalFormatting sqref="B7">
    <cfRule type="duplicateValues" dxfId="31" priority="32"/>
  </conditionalFormatting>
  <conditionalFormatting sqref="B7">
    <cfRule type="duplicateValues" dxfId="30" priority="31"/>
  </conditionalFormatting>
  <conditionalFormatting sqref="B8">
    <cfRule type="duplicateValues" dxfId="29" priority="30"/>
  </conditionalFormatting>
  <conditionalFormatting sqref="B8">
    <cfRule type="duplicateValues" dxfId="28" priority="29"/>
  </conditionalFormatting>
  <conditionalFormatting sqref="B8">
    <cfRule type="duplicateValues" dxfId="27" priority="28"/>
  </conditionalFormatting>
  <conditionalFormatting sqref="B8">
    <cfRule type="duplicateValues" dxfId="26" priority="27"/>
  </conditionalFormatting>
  <conditionalFormatting sqref="B8">
    <cfRule type="duplicateValues" dxfId="25" priority="26"/>
  </conditionalFormatting>
  <conditionalFormatting sqref="B8">
    <cfRule type="duplicateValues" dxfId="24" priority="25"/>
  </conditionalFormatting>
  <conditionalFormatting sqref="B8">
    <cfRule type="duplicateValues" dxfId="23" priority="24"/>
  </conditionalFormatting>
  <conditionalFormatting sqref="B8">
    <cfRule type="duplicateValues" dxfId="22" priority="23"/>
  </conditionalFormatting>
  <conditionalFormatting sqref="B8">
    <cfRule type="duplicateValues" dxfId="21" priority="22"/>
  </conditionalFormatting>
  <conditionalFormatting sqref="B8">
    <cfRule type="duplicateValues" dxfId="20" priority="21"/>
  </conditionalFormatting>
  <conditionalFormatting sqref="B8">
    <cfRule type="duplicateValues" dxfId="19" priority="20"/>
  </conditionalFormatting>
  <conditionalFormatting sqref="B8">
    <cfRule type="duplicateValues" dxfId="18" priority="19"/>
  </conditionalFormatting>
  <conditionalFormatting sqref="B8">
    <cfRule type="duplicateValues" dxfId="17" priority="18"/>
  </conditionalFormatting>
  <conditionalFormatting sqref="B8">
    <cfRule type="duplicateValues" dxfId="16" priority="17"/>
  </conditionalFormatting>
  <conditionalFormatting sqref="B8">
    <cfRule type="duplicateValues" dxfId="15" priority="16"/>
  </conditionalFormatting>
  <conditionalFormatting sqref="B8">
    <cfRule type="duplicateValues" dxfId="14" priority="15"/>
  </conditionalFormatting>
  <conditionalFormatting sqref="B8">
    <cfRule type="duplicateValues" dxfId="13" priority="14"/>
  </conditionalFormatting>
  <conditionalFormatting sqref="B8">
    <cfRule type="duplicateValues" dxfId="12" priority="13"/>
  </conditionalFormatting>
  <conditionalFormatting sqref="B8">
    <cfRule type="duplicateValues" dxfId="11" priority="12"/>
  </conditionalFormatting>
  <conditionalFormatting sqref="B8">
    <cfRule type="duplicateValues" dxfId="10" priority="11"/>
  </conditionalFormatting>
  <conditionalFormatting sqref="B8">
    <cfRule type="duplicateValues" dxfId="9" priority="10"/>
  </conditionalFormatting>
  <conditionalFormatting sqref="B13">
    <cfRule type="duplicateValues" dxfId="8" priority="9"/>
  </conditionalFormatting>
  <conditionalFormatting sqref="B11">
    <cfRule type="duplicateValues" dxfId="7" priority="8"/>
  </conditionalFormatting>
  <conditionalFormatting sqref="B11">
    <cfRule type="duplicateValues" dxfId="6" priority="7"/>
  </conditionalFormatting>
  <conditionalFormatting sqref="B11">
    <cfRule type="duplicateValues" dxfId="5" priority="6"/>
  </conditionalFormatting>
  <conditionalFormatting sqref="B11">
    <cfRule type="duplicateValues" dxfId="4" priority="5"/>
  </conditionalFormatting>
  <conditionalFormatting sqref="B11">
    <cfRule type="duplicateValues" dxfId="3" priority="4"/>
  </conditionalFormatting>
  <conditionalFormatting sqref="B9">
    <cfRule type="duplicateValues" dxfId="2" priority="3"/>
  </conditionalFormatting>
  <conditionalFormatting sqref="B9">
    <cfRule type="duplicateValues" dxfId="1" priority="2"/>
  </conditionalFormatting>
  <conditionalFormatting sqref="B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4</vt:i4>
      </vt:variant>
    </vt:vector>
  </HeadingPairs>
  <TitlesOfParts>
    <vt:vector size="18" baseType="lpstr">
      <vt:lpstr>Controle de Logistica</vt:lpstr>
      <vt:lpstr>Distribuição</vt:lpstr>
      <vt:lpstr>Check - List</vt:lpstr>
      <vt:lpstr>Declaração</vt:lpstr>
      <vt:lpstr>Planilha3</vt:lpstr>
      <vt:lpstr>Planilha2</vt:lpstr>
      <vt:lpstr>Preparação de Lojas</vt:lpstr>
      <vt:lpstr>Planilha1</vt:lpstr>
      <vt:lpstr>Check - List - Detalhado</vt:lpstr>
      <vt:lpstr>Plan2</vt:lpstr>
      <vt:lpstr>Plan3</vt:lpstr>
      <vt:lpstr>Plan4</vt:lpstr>
      <vt:lpstr>Plan5</vt:lpstr>
      <vt:lpstr>Plan6</vt:lpstr>
      <vt:lpstr>'Check - List'!Area_de_impressao</vt:lpstr>
      <vt:lpstr>Declaração!Area_de_impressao</vt:lpstr>
      <vt:lpstr>Plan3!Area_de_impressao</vt:lpstr>
      <vt:lpstr>'Preparação de Lojas'!Area_de_impressao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Usuario2</dc:creator>
  <cp:lastModifiedBy>Inventory T.I</cp:lastModifiedBy>
  <cp:lastPrinted>2023-08-31T17:40:32Z</cp:lastPrinted>
  <dcterms:created xsi:type="dcterms:W3CDTF">2013-04-27T15:02:25Z</dcterms:created>
  <dcterms:modified xsi:type="dcterms:W3CDTF">2026-07-17T17:25:34Z</dcterms:modified>
</cp:coreProperties>
</file>